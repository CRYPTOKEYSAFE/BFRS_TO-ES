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FSMS_Loading" sheetId="2" state="visible" r:id="rId4"/>
    <sheet name="Personnel" sheetId="3" state="visible" r:id="rId5"/>
    <sheet name="BFR_Calculator" sheetId="4" state="visible" r:id="rId6"/>
    <sheet name="Inventory" sheetId="5" state="visible" r:id="rId7"/>
    <sheet name="Okinawa_Adj" sheetId="6" state="visible" r:id="rId8"/>
    <sheet name="BFR_Summary" sheetId="7" state="visible" r:id="rId9"/>
    <sheet name="CCN_Library" sheetId="8" state="visible" r:id="rId10"/>
  </sheets>
  <definedNames>
    <definedName function="false" hidden="false" localSheetId="6" name="_xlnm.Print_Area" vbProcedure="false">BFR_Summary!$B$2:$J$76</definedName>
    <definedName function="false" hidden="false" localSheetId="6" name="_xlnm.Print_Titles" vbProcedure="false">BFR_Summary!$1:$4</definedName>
    <definedName function="false" hidden="false" name="BFR_CCN" vbProcedure="false">BFR_Calculator!$B$7:$B$20</definedName>
    <definedName function="false" hidden="false" name="BFR_NAME" vbProcedure="false">BFR_Calculator!$C$7:$C$20</definedName>
    <definedName function="false" hidden="false" name="BFR_NOTE" vbProcedure="false">BFR_Calculator!$J$7:$J$20</definedName>
    <definedName function="false" hidden="false" name="BFR_OVR" vbProcedure="false">BFR_Calculator!$I$7:$I$20</definedName>
    <definedName function="false" hidden="false" name="BFR_REQ" vbProcedure="false">BFR_Calculator!$H$7:$H$20</definedName>
    <definedName function="false" hidden="false" name="BFR_UM" vbProcedure="false">BFR_Calculator!$D$7:$D$20</definedName>
    <definedName function="false" hidden="false" name="BLDG_NO" vbProcedure="false">Cover!$D$8</definedName>
    <definedName function="false" hidden="false" name="CCN_TABLE" vbProcedure="false">CCN_Library!$C$6:$I$28</definedName>
    <definedName function="false" hidden="false" name="Contingency" vbProcedure="false">Okinawa_Adj!$C$10</definedName>
    <definedName function="false" hidden="false" name="DD1391" vbProcedure="false">Cover!$D$15</definedName>
    <definedName function="false" hidden="false" name="Esc_Factor" vbProcedure="false">Okinawa_Adj!$C$9</definedName>
    <definedName function="false" hidden="false" name="HF" vbProcedure="false">Okinawa_Adj!$C$13</definedName>
    <definedName function="false" hidden="false" name="INSTALLATION" vbProcedure="false">Cover!$D$7</definedName>
    <definedName function="false" hidden="false" name="Okinawa_Navy_ACF" vbProcedure="false">Okinawa_Adj!$C$7</definedName>
    <definedName function="false" hidden="false" name="Okinawa_Sust_ACF" vbProcedure="false">Okinawa_Adj!$C$8</definedName>
    <definedName function="false" hidden="false" name="PD_Factor" vbProcedure="false">Okinawa_Adj!$C$12</definedName>
    <definedName function="false" hidden="false" name="PLANNER" vbProcedure="false">Cover!$D$12</definedName>
    <definedName function="false" hidden="false" name="PN_CIV" vbProcedure="false">Personnel!$C$30</definedName>
    <definedName function="false" hidden="false" name="PN_CTR" vbProcedure="false">Personnel!$C$31</definedName>
    <definedName function="false" hidden="false" name="PN_ENL" vbProcedure="false">Personnel!$C$29</definedName>
    <definedName function="false" hidden="false" name="PN_MIL" vbProcedure="false">Personnel!$C$33</definedName>
    <definedName function="false" hidden="false" name="PN_OFF" vbProcedure="false">Personnel!$C$28</definedName>
    <definedName function="false" hidden="false" name="PN_TOTAL" vbProcedure="false">Personnel!$C$32</definedName>
    <definedName function="false" hidden="false" name="PROG_FY" vbProcedure="false">Cover!$D$14</definedName>
    <definedName function="false" hidden="false" name="PROJ_DATE" vbProcedure="false">Cover!$D$13</definedName>
    <definedName function="false" hidden="false" name="PROJ_TITLE" vbProcedure="false">Cover!$D$6</definedName>
    <definedName function="false" hidden="false" name="REGION" vbProcedure="false">Cover!$D$9</definedName>
    <definedName function="false" hidden="false" name="SIOH" vbProcedure="false">Okinawa_Adj!$C$11</definedName>
    <definedName function="false" hidden="false" name="TENANT_UNIT" vbProcedure="false">Cover!$D$10</definedName>
    <definedName function="false" hidden="false" name="TFSMS_CIV" vbProcedure="false">TFSMS_Loading!$L$17</definedName>
    <definedName function="false" hidden="false" name="TFSMS_CTR" vbProcedure="false">TFSMS_Loading!$M$17</definedName>
    <definedName function="false" hidden="false" name="TFSMS_MAR_ENL" vbProcedure="false">TFSMS_Loading!$E$17</definedName>
    <definedName function="false" hidden="false" name="TFSMS_MAR_OFF" vbProcedure="false">TFSMS_Loading!$D$17</definedName>
    <definedName function="false" hidden="false" name="TFSMS_NAV_ENL" vbProcedure="false">TFSMS_Loading!$G$17</definedName>
    <definedName function="false" hidden="false" name="TFSMS_NAV_OFF" vbProcedure="false">TFSMS_Loading!$F$17</definedName>
    <definedName function="false" hidden="false" name="TFSMS_NC" vbProcedure="false">TFSMS_Loading!$N$17</definedName>
    <definedName function="false" hidden="false" name="TFSMS_OS_ENL" vbProcedure="false">TFSMS_Loading!$I$17</definedName>
    <definedName function="false" hidden="false" name="TFSMS_OS_OFF" vbProcedure="false">TFSMS_Loading!$H$17</definedName>
    <definedName function="false" hidden="false" name="TFSMS_RES_ENL" vbProcedure="false">TFSMS_Loading!$K$17</definedName>
    <definedName function="false" hidden="false" name="TFSMS_RES_OFF" vbProcedure="false">TFSMS_Loading!$J$17</definedName>
    <definedName function="false" hidden="false" name="TFSMS_TOTAL" vbProcedure="false">TFSMS_Loading!$O$17</definedName>
    <definedName function="false" hidden="false" name="TFSMS_UNRECONCILED" vbProcedure="false">TFSMS_Loading!$D$19</definedName>
    <definedName function="false" hidden="false" name="UIC" vbProcedure="false">Cover!$D$11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<sst xmlns="http://schemas.openxmlformats.org/spreadsheetml/2006/main" count="510" uniqueCount="341">
  <si>
    <t xml:space="preserve">Marine Corps Basic Facility Requirement (BFR) Generator</t>
  </si>
  <si>
    <t xml:space="preserve">FC 2-000-05N · Series 100 — Operational &amp; Training Facilities · MCBJ / MCIPAC · Okinawa, Japan</t>
  </si>
  <si>
    <t xml:space="preserve">Project Information</t>
  </si>
  <si>
    <t xml:space="preserve">Project Title</t>
  </si>
  <si>
    <t xml:space="preserve">Installation</t>
  </si>
  <si>
    <t xml:space="preserve">Camp Foster, Okinawa, JP</t>
  </si>
  <si>
    <t xml:space="preserve">Building No.</t>
  </si>
  <si>
    <t xml:space="preserve">Region / Command</t>
  </si>
  <si>
    <t xml:space="preserve">MCIPAC / MCBJ (COMMARCORBASESJAPAN) — 3d MLG / CLR-3</t>
  </si>
  <si>
    <t xml:space="preserve">Tenant Unit (Activity)</t>
  </si>
  <si>
    <t xml:space="preserve">CLB-4 (UIC M29110)</t>
  </si>
  <si>
    <t xml:space="preserve">UIC / RUC</t>
  </si>
  <si>
    <t xml:space="preserve">M29110 (CLB-4 — composite of M29111/12/13/14)</t>
  </si>
  <si>
    <t xml:space="preserve">Planner (Name / Office)</t>
  </si>
  <si>
    <t xml:space="preserve">Date Prepared</t>
  </si>
  <si>
    <t xml:space="preserve">FY (Program Year)</t>
  </si>
  <si>
    <t xml:space="preserve">DD Form 1391 No.</t>
  </si>
  <si>
    <t xml:space="preserve">How to Use This Workbook</t>
  </si>
  <si>
    <t xml:space="preserve">1. Fill in Project Information above.</t>
  </si>
  <si>
    <t xml:space="preserve">2. Go to the Personnel sheet and enter unit personnel loading (officers, enlisted, civilians, contractors). The Authorized Strength Report (ASR) / TFSD projection is the official source per FC 2-000-05N §61010-3.</t>
  </si>
  <si>
    <t xml:space="preserve">3. Open the BFR Calculator. Each row references a Series 100 Category Code (CCN). Enter quantity drivers (e.g., # of vehicles by type, # of student stations, # of weapons). Required SF / SY / EA is computed automatically using the planning factors stored in the CCN Library.</t>
  </si>
  <si>
    <t xml:space="preserve">4. Open the Inventory sheet and enter existing iNFADS assets for each CCN. Surplus / Deficit is computed automatically.</t>
  </si>
  <si>
    <t xml:space="preserve">5. Open the Okinawa Adjustments sheet. Confirm the MILCON Area Cost Factor (Okinawa Navy ACF), ATFP setbacks (UFC 4-010-01), seismic/typhoon premiums, and any host-nation siting constraints.</t>
  </si>
  <si>
    <t xml:space="preserve">6. Open the BFR Summary. This is the print-ready output: total requirements, deficits, programmed cost, and justification narrative for the DD Form 1391 attachment.</t>
  </si>
  <si>
    <t xml:space="preserve">7. Cell colors: cream = INPUT (you fill in), light teal = CALCULATED, light green = OUTPUT / TOTAL.</t>
  </si>
  <si>
    <t xml:space="preserve">8. Do not overwrite formula cells. To add a CCN that is not listed, copy a row in the BFR Calculator and add the CCN code from the CCN Library.</t>
  </si>
  <si>
    <t xml:space="preserve">DATA QUALITY: Treat all TFSMS / TO&amp;E exports as DRAFT. Reconcile every UIC row on TFSMS_Loading against the current Authorized Strength Report (ASR) before relying on BFR outputs. Unreconciled rows are flagged on the Personnel sheet header.</t>
  </si>
  <si>
    <t xml:space="preserve">Cell Color Legend</t>
  </si>
  <si>
    <t xml:space="preserve"> </t>
  </si>
  <si>
    <t xml:space="preserve">INPUT — user-editable</t>
  </si>
  <si>
    <t xml:space="preserve">CALCULATED — formula</t>
  </si>
  <si>
    <t xml:space="preserve">OUTPUT / TOTAL</t>
  </si>
  <si>
    <t xml:space="preserve">REVIEW REQUIRED</t>
  </si>
  <si>
    <t xml:space="preserve">Authoritative References</t>
  </si>
  <si>
    <t xml:space="preserve">• FC 2-000-05N — Facility Planning for Navy and Marine Corps Shore Installations (formerly NAVFAC P-80) — Series 100, dated 11 Feb 2026</t>
  </si>
  <si>
    <t xml:space="preserve">• MCO 11000.12 — Real Property Facilities Manual, Facilities Planning and Programming</t>
  </si>
  <si>
    <t xml:space="preserve">• MCO P11000.5x — Real Property Facilities Manual series</t>
  </si>
  <si>
    <t xml:space="preserve">• UFC 4-010-01 — DoD Minimum Antiterrorism Standards for Buildings</t>
  </si>
  <si>
    <t xml:space="preserve">• UFC 4-020-01 — DoD Security Engineering Facilities Planning Manual</t>
  </si>
  <si>
    <t xml:space="preserve">• UFS 3-701-01 — DoD Facilities Pricing Guide (ACFs in Table 4-1)</t>
  </si>
  <si>
    <t xml:space="preserve">• UFS 3-730-01 — Programming Cost Estimates for Military Construction</t>
  </si>
  <si>
    <t xml:space="preserve">• DoD Real Property Classification System (RPCS) / iNFADS CCN module</t>
  </si>
  <si>
    <t xml:space="preserve">TFSMS / TO&amp;E Loading by Sub-Unit (UIC)</t>
  </si>
  <si>
    <t xml:space="preserve">Paste RecapMCC chargeable + non-chargeable counts. Roll-up populates the Personnel sheet automatically.</t>
  </si>
  <si>
    <t xml:space="preserve">DATA QUALITY NOTICE — TFSMS exports are 'Published Average' snapshots and may include stale T/O lines, mis-coded FAP/collateral billets, or units detached from the parent UIC. Reconcile every row against the current Authorized Strength Report (ASR) and on-hand strength before treating these numbers as authoritative for the BFR.</t>
  </si>
  <si>
    <t xml:space="preserve">Per-UIC Loading</t>
  </si>
  <si>
    <t xml:space="preserve">UIC</t>
  </si>
  <si>
    <t xml:space="preserve">Sub-Unit</t>
  </si>
  <si>
    <t xml:space="preserve">Marine Active</t>
  </si>
  <si>
    <t xml:space="preserve">Navy Active</t>
  </si>
  <si>
    <t xml:space="preserve">Other Service</t>
  </si>
  <si>
    <t xml:space="preserve">Reserve / FAP</t>
  </si>
  <si>
    <t xml:space="preserve">Civilians</t>
  </si>
  <si>
    <t xml:space="preserve">Contractors</t>
  </si>
  <si>
    <t xml:space="preserve">Non-Charge</t>
  </si>
  <si>
    <t xml:space="preserve">Total PN</t>
  </si>
  <si>
    <t xml:space="preserve">TFSMS Date</t>
  </si>
  <si>
    <t xml:space="preserve">ASR Reconciled?</t>
  </si>
  <si>
    <t xml:space="preserve">Variance vs ASR</t>
  </si>
  <si>
    <t xml:space="preserve">Planner QA Notes / Caveats</t>
  </si>
  <si>
    <t xml:space="preserve">Off</t>
  </si>
  <si>
    <t xml:space="preserve">Enl</t>
  </si>
  <si>
    <t xml:space="preserve">M29111</t>
  </si>
  <si>
    <t xml:space="preserve">HQ Co CLB-4 / CLR-3 / 3d MLG</t>
  </si>
  <si>
    <t xml:space="preserve">2026-02-25</t>
  </si>
  <si>
    <t xml:space="preserve">Pending</t>
  </si>
  <si>
    <t xml:space="preserve">TFSMS export 25 Feb 2026; HQ Co — verify Navy RP/Chaplain billets are still chargeable to CLB-4 vs. detached.</t>
  </si>
  <si>
    <t xml:space="preserve">M29112</t>
  </si>
  <si>
    <t xml:space="preserve">CLC A CLB-4 / CLR-3 / 3d MLG</t>
  </si>
  <si>
    <t xml:space="preserve">TFSMS export 25 Feb 2026; CLC A — confirm operations chief billet (3537/0477) is filled per current ASR.</t>
  </si>
  <si>
    <t xml:space="preserve">M29113</t>
  </si>
  <si>
    <t xml:space="preserve">CLC B CLB-4 / CLR-3 / 3d MLG</t>
  </si>
  <si>
    <t xml:space="preserve">TFSMS export 25 Feb 2026; CLC B — verify it is identical to CLC A as published; reconcile against on-hand.</t>
  </si>
  <si>
    <t xml:space="preserve">M29114</t>
  </si>
  <si>
    <t xml:space="preserve">GS Co CLB-4 / CLR-3 / 3d MLG</t>
  </si>
  <si>
    <t xml:space="preserve">TFSMS export 25 Feb 2026; GS Co — confirm 3 collateral-duty enlisted (K15) are not double-counted in chargeable.</t>
  </si>
  <si>
    <t xml:space="preserve">UNIT TOTAL (e.g., CLB-4)</t>
  </si>
  <si>
    <t xml:space="preserve">Reconciliation Gate</t>
  </si>
  <si>
    <t xml:space="preserve">rows still need ASR reconciliation</t>
  </si>
  <si>
    <t xml:space="preserve">How to Populate This Sheet</t>
  </si>
  <si>
    <t xml:space="preserve">1. Open each sub-unit's TFSMS Unit TO&amp;E Report (e.g., M29111_HQ_CO_CLB-4.xlsx).
2. Go to the 'RecapMCC' sheet and copy the Summary row values for each chargeable category (Marine Active Off/Enl, Navy Active Off/Enl, Other Active Off/Enl) and the Civ + Non-Chargeable counts.
3. Paste them into the matching column on the row for that UIC here. Add a new row per sub-unit if needed.
4. The UNIT TOTAL row rolls everything up, and the Personnel sheet will pull from these named totals automatically. All BFR Calculator factors (per-PN, per-military-strength) cascade from this.
5. CLB-4 sub-units pre-loaded from the FY26 TO&amp;E reports you provided.</t>
  </si>
  <si>
    <t xml:space="preserve">Unit Personnel Loading</t>
  </si>
  <si>
    <t xml:space="preserve">Per FC 2-000-05N §61010-3 — Personnel loading must come from an official source (ASR / TFSD).</t>
  </si>
  <si>
    <t xml:space="preserve">Loading Source</t>
  </si>
  <si>
    <t xml:space="preserve">TFSMS</t>
  </si>
  <si>
    <t xml:space="preserve">Personnel by Category</t>
  </si>
  <si>
    <t xml:space="preserve">Group</t>
  </si>
  <si>
    <t xml:space="preserve">Category</t>
  </si>
  <si>
    <t xml:space="preserve">Officers</t>
  </si>
  <si>
    <t xml:space="preserve">Enlisted</t>
  </si>
  <si>
    <t xml:space="preserve">Total</t>
  </si>
  <si>
    <t xml:space="preserve">Headquarters / Command Element</t>
  </si>
  <si>
    <t xml:space="preserve">Operations (S-3) / Line Companies</t>
  </si>
  <si>
    <t xml:space="preserve">Intelligence (S-2)</t>
  </si>
  <si>
    <t xml:space="preserve">Logistics (S-4) / Supply</t>
  </si>
  <si>
    <t xml:space="preserve">Communications (S-6)</t>
  </si>
  <si>
    <t xml:space="preserve">Maintenance / Motor T</t>
  </si>
  <si>
    <t xml:space="preserve">Medical / Dental Section</t>
  </si>
  <si>
    <t xml:space="preserve">Other / Attached</t>
  </si>
  <si>
    <t xml:space="preserve">TOTAL UNIT PERSONNEL</t>
  </si>
  <si>
    <t xml:space="preserve">Derived Loading Metrics</t>
  </si>
  <si>
    <t xml:space="preserve">Total Military Strength (Off + Enl)</t>
  </si>
  <si>
    <t xml:space="preserve">Personnel Loading (PN) for BFR (FC §61010-3)</t>
  </si>
  <si>
    <t xml:space="preserve">All military, civilian, and other personnel associated with the organization.</t>
  </si>
  <si>
    <t xml:space="preserve">Loading Source &amp; Notes</t>
  </si>
  <si>
    <t xml:space="preserve">Authoritative source for personnel loading per FC 2-000-05N §61010-3: Authorized Strength Report (ASR) validated by Total Force Structure Division (TFSD) per MCO 11000.12. Tenant loading reports must be provided as a separate attachment for project-level BFRs.</t>
  </si>
  <si>
    <t xml:space="preserve">Effective Loading (used by BFR formulas)</t>
  </si>
  <si>
    <t xml:space="preserve">Officers (effective)</t>
  </si>
  <si>
    <t xml:space="preserve">Enlisted (effective)</t>
  </si>
  <si>
    <t xml:space="preserve">Civilians (effective)</t>
  </si>
  <si>
    <t xml:space="preserve">Contractors (effective)</t>
  </si>
  <si>
    <t xml:space="preserve">Total PN (effective)</t>
  </si>
  <si>
    <t xml:space="preserve">Military Strength (effective)</t>
  </si>
  <si>
    <t xml:space="preserve">Sub-Unit Snapshot (from TFSMS_Loading)</t>
  </si>
  <si>
    <t xml:space="preserve">Mar Off</t>
  </si>
  <si>
    <t xml:space="preserve">Mar Enl</t>
  </si>
  <si>
    <t xml:space="preserve">Navy Off</t>
  </si>
  <si>
    <t xml:space="preserve">Navy Enl</t>
  </si>
  <si>
    <t xml:space="preserve">Civ</t>
  </si>
  <si>
    <t xml:space="preserve">BFR Calculator — Series 100</t>
  </si>
  <si>
    <t xml:space="preserve">Required = Driver × Planning Factor × NTG. Enter quantities in the cream cells.</t>
  </si>
  <si>
    <t xml:space="preserve">Per-CCN Requirements</t>
  </si>
  <si>
    <t xml:space="preserve">CCN</t>
  </si>
  <si>
    <t xml:space="preserve">Facility Name</t>
  </si>
  <si>
    <t xml:space="preserve">UM</t>
  </si>
  <si>
    <t xml:space="preserve">Driver Qty</t>
  </si>
  <si>
    <t xml:space="preserve">Factor</t>
  </si>
  <si>
    <t xml:space="preserve">NTG</t>
  </si>
  <si>
    <t xml:space="preserve">Required</t>
  </si>
  <si>
    <t xml:space="preserve">Total Required (UM)</t>
  </si>
  <si>
    <t xml:space="preserve">Justification / Notes</t>
  </si>
  <si>
    <t xml:space="preserve">143 10</t>
  </si>
  <si>
    <t xml:space="preserve">Emergency Vehicle Garage — engineering analysis required.</t>
  </si>
  <si>
    <t xml:space="preserve">143 11</t>
  </si>
  <si>
    <t xml:space="preserve">Operational Vehicle Garage — sum of all type allowances + 250 SF mech room.</t>
  </si>
  <si>
    <t xml:space="preserve">143 12</t>
  </si>
  <si>
    <t xml:space="preserve">Operational Vehicle Laydown Area (SY).</t>
  </si>
  <si>
    <t xml:space="preserve">143 24</t>
  </si>
  <si>
    <t xml:space="preserve">Marine Corps EOD Facility — 7,000 GSF EOD bldg + 204 GSF Haz/Flam.</t>
  </si>
  <si>
    <t xml:space="preserve">143 45</t>
  </si>
  <si>
    <t xml:space="preserve">Armory — sized via Table 14345-1; engineering analysis if outside scope.</t>
  </si>
  <si>
    <t xml:space="preserve">143 46</t>
  </si>
  <si>
    <t xml:space="preserve">Marine Barracks — only if barracking is required.</t>
  </si>
  <si>
    <t xml:space="preserve">171 10</t>
  </si>
  <si>
    <t xml:space="preserve">Academic Instruction — # of student stations × 45 GSF.</t>
  </si>
  <si>
    <t xml:space="preserve">171 20</t>
  </si>
  <si>
    <t xml:space="preserve">Applied Instruction — # of student stations × 150 GSF.</t>
  </si>
  <si>
    <t xml:space="preserve">171 50</t>
  </si>
  <si>
    <t xml:space="preserve">Indoor Small Arms Range — engineering analysis.</t>
  </si>
  <si>
    <t xml:space="preserve">173 10</t>
  </si>
  <si>
    <t xml:space="preserve">Range Operations Building — engineering analysis.</t>
  </si>
  <si>
    <t xml:space="preserve">173 11</t>
  </si>
  <si>
    <t xml:space="preserve">Range Support Building — engineering analysis.</t>
  </si>
  <si>
    <t xml:space="preserve">179 60</t>
  </si>
  <si>
    <t xml:space="preserve">Parade &amp; Drill Field — 1 AC per 125 personnel.</t>
  </si>
  <si>
    <t xml:space="preserve">179 91</t>
  </si>
  <si>
    <t xml:space="preserve">Confidence Course — 1 EA per complete course.</t>
  </si>
  <si>
    <t xml:space="preserve">179 92</t>
  </si>
  <si>
    <t xml:space="preserve">Obstacle Course — case-by-case engineering analysis.</t>
  </si>
  <si>
    <t xml:space="preserve">Vehicle Sub-Schedule (drives 143 11 Garage SF and 143 12 Laydown SY)</t>
  </si>
  <si>
    <t xml:space="preserve">Type</t>
  </si>
  <si>
    <t xml:space="preserve">Description</t>
  </si>
  <si>
    <t xml:space="preserve"># Vehicles</t>
  </si>
  <si>
    <t xml:space="preserve">Garage NSF/EA</t>
  </si>
  <si>
    <t xml:space="preserve">Laydown GSY/EA</t>
  </si>
  <si>
    <t xml:space="preserve">Garage NSF</t>
  </si>
  <si>
    <t xml:space="preserve">Laydown GSY</t>
  </si>
  <si>
    <t xml:space="preserve">A</t>
  </si>
  <si>
    <t xml:space="preserve">Sedan / light truck</t>
  </si>
  <si>
    <t xml:space="preserve">B</t>
  </si>
  <si>
    <t xml:space="preserve">Pickup / 4-pass van</t>
  </si>
  <si>
    <t xml:space="preserve">C</t>
  </si>
  <si>
    <t xml:space="preserve">Cargo / shop van / 7-ton</t>
  </si>
  <si>
    <t xml:space="preserve">D</t>
  </si>
  <si>
    <t xml:space="preserve">Bus / box truck</t>
  </si>
  <si>
    <t xml:space="preserve">E</t>
  </si>
  <si>
    <t xml:space="preserve">Tractor + trailer / wrecker</t>
  </si>
  <si>
    <t xml:space="preserve">F</t>
  </si>
  <si>
    <t xml:space="preserve">HEMTT / heavy wrecker</t>
  </si>
  <si>
    <t xml:space="preserve">G</t>
  </si>
  <si>
    <t xml:space="preserve">Oversize / specialty</t>
  </si>
  <si>
    <t xml:space="preserve">TOTAL</t>
  </si>
  <si>
    <t xml:space="preserve">+ 250 SF mech room (143 11)</t>
  </si>
  <si>
    <t xml:space="preserve">Existing Inventory &amp; Deficit Analysis</t>
  </si>
  <si>
    <t xml:space="preserve">Compare iNFADS / RPI assets against the calculated BFR. Surplus (+) / Deficit (-).</t>
  </si>
  <si>
    <t xml:space="preserve">Inventory by CCN</t>
  </si>
  <si>
    <t xml:space="preserve">Existing (iNFADS)</t>
  </si>
  <si>
    <t xml:space="preserve">Adequate</t>
  </si>
  <si>
    <t xml:space="preserve">Inadequate</t>
  </si>
  <si>
    <t xml:space="preserve">Deficit (-) / Surplus (+)</t>
  </si>
  <si>
    <t xml:space="preserve">Recommended Action</t>
  </si>
  <si>
    <t xml:space="preserve">Okinawa / MCBJ Adjustments</t>
  </si>
  <si>
    <t xml:space="preserve">Cost factors, ATFP, seismic/typhoon, and host-nation siting considerations.</t>
  </si>
  <si>
    <t xml:space="preserve">MILCON Cost Adjustment Factors (UFS 3-701-01 Table 4-1 / PAX Newsletter 3.2.1)</t>
  </si>
  <si>
    <t xml:space="preserve">Value</t>
  </si>
  <si>
    <t xml:space="preserve">Notes</t>
  </si>
  <si>
    <t xml:space="preserve">MILCON Area Cost Factor (Okinawa, Navy)</t>
  </si>
  <si>
    <t xml:space="preserve">PAX Newsletter 3.2.1; updated annually. Applies to MILCON construction cost.</t>
  </si>
  <si>
    <t xml:space="preserve">Sustainment Area Cost Factor (Okinawa)</t>
  </si>
  <si>
    <t xml:space="preserve">Sustainment ACF — used for SR per UFS 3-701-01 §3-3.</t>
  </si>
  <si>
    <t xml:space="preserve">Programmed Escalation Factor</t>
  </si>
  <si>
    <t xml:space="preserve">Set per program FY (UFS 3-730-01 Table 2). Update each FY.</t>
  </si>
  <si>
    <t xml:space="preserve">Contingency Factor</t>
  </si>
  <si>
    <t xml:space="preserve">OCONUS contingency (UFS 3-730-01).</t>
  </si>
  <si>
    <t xml:space="preserve">SIOH (OCONUS — Japan)</t>
  </si>
  <si>
    <t xml:space="preserve">Supervision, Inspection &amp; Overhead.</t>
  </si>
  <si>
    <t xml:space="preserve">Planning &amp; Design Factor</t>
  </si>
  <si>
    <t xml:space="preserve">1.09 standard / 1.13 medical (UFS 3-701-01 Eq 3-1).</t>
  </si>
  <si>
    <t xml:space="preserve">Historical / Cultural Factor</t>
  </si>
  <si>
    <t xml:space="preserve">1.05 if historic district.</t>
  </si>
  <si>
    <t xml:space="preserve">ATFP / Seismic / Siting Checklist</t>
  </si>
  <si>
    <t xml:space="preserve">Status</t>
  </si>
  <si>
    <t xml:space="preserve">Item</t>
  </si>
  <si>
    <t xml:space="preserve">TBD</t>
  </si>
  <si>
    <t xml:space="preserve">UFC 4-010-01 minimum standoff distances met (controlled perimeter ≥18 ft; ≥12 ft within controlled perimeter).</t>
  </si>
  <si>
    <t xml:space="preserve">UFC 4-020-01 Design Basis Threat (DBT) and Level Of Protection (LOP) determined for the project.</t>
  </si>
  <si>
    <t xml:space="preserve">Mass notification system included (UFC 4-010-01 Standard 21).</t>
  </si>
  <si>
    <t xml:space="preserve">Progressive collapse mitigation per UFC 4-023-03.</t>
  </si>
  <si>
    <t xml:space="preserve">Seismic design: Japan-specific seismic premium applied (Okinawa is in a moderate seismic zone; coordinate w/ NAVFAC FEAD).</t>
  </si>
  <si>
    <t xml:space="preserve">Typhoon / wind loading per ASCE 7 + Okinawa supplements (Vult ≈ 170 mph for design).</t>
  </si>
  <si>
    <t xml:space="preserve">Host-nation FIP / Status of Forces Agreement coordination complete.</t>
  </si>
  <si>
    <t xml:space="preserve">Encroachment Control Plan (ECP) and IMP land-use checked (MCO 11000.12).</t>
  </si>
  <si>
    <t xml:space="preserve">Cultural / archaeological survey complete (NEPA + Japan PA).</t>
  </si>
  <si>
    <t xml:space="preserve">Sustainability — LEED Silver minimum / DoD Federal High-Performance Sustainable Buildings.</t>
  </si>
  <si>
    <t xml:space="preserve">BFR Summary — Print-Ready</t>
  </si>
  <si>
    <t xml:space="preserve">Generated from Personnel + BFR Calculator + Inventory inputs.</t>
  </si>
  <si>
    <t xml:space="preserve">Project</t>
  </si>
  <si>
    <t xml:space="preserve">Tenant Unit</t>
  </si>
  <si>
    <t xml:space="preserve">Planner</t>
  </si>
  <si>
    <t xml:space="preserve">Program FY</t>
  </si>
  <si>
    <t xml:space="preserve">DD 1391 No.</t>
  </si>
  <si>
    <t xml:space="preserve">Personnel Loading Summary</t>
  </si>
  <si>
    <t xml:space="preserve">Total Personnel (PN)</t>
  </si>
  <si>
    <t xml:space="preserve">Military Strength</t>
  </si>
  <si>
    <t xml:space="preserve">Requirements by CCN</t>
  </si>
  <si>
    <t xml:space="preserve">Existing</t>
  </si>
  <si>
    <t xml:space="preserve">Deficit</t>
  </si>
  <si>
    <t xml:space="preserve">Action</t>
  </si>
  <si>
    <t xml:space="preserve">Justification</t>
  </si>
  <si>
    <t xml:space="preserve">Cost Roll-up (Programming)</t>
  </si>
  <si>
    <t xml:space="preserve">Unit Cost ($/UM)</t>
  </si>
  <si>
    <t xml:space="preserve">Bare Cost</t>
  </si>
  <si>
    <t xml:space="preserve">ACF</t>
  </si>
  <si>
    <t xml:space="preserve">SIOH</t>
  </si>
  <si>
    <t xml:space="preserve">Programmed Cost</t>
  </si>
  <si>
    <t xml:space="preserve">PROGRAM TOTAL</t>
  </si>
  <si>
    <t xml:space="preserve">Mission Justification &amp; Narrative</t>
  </si>
  <si>
    <t xml:space="preserve">Endorsements</t>
  </si>
  <si>
    <t xml:space="preserve">Role</t>
  </si>
  <si>
    <t xml:space="preserve">Name</t>
  </si>
  <si>
    <t xml:space="preserve">Signature</t>
  </si>
  <si>
    <t xml:space="preserve">Date</t>
  </si>
  <si>
    <t xml:space="preserve">Tenant Unit CO / OIC</t>
  </si>
  <si>
    <t xml:space="preserve">MCBJ G-F (Facilities)</t>
  </si>
  <si>
    <t xml:space="preserve">MCIPAC Region (Validation)</t>
  </si>
  <si>
    <t xml:space="preserve">ADC I&amp;L (LF) / COMMCICOM (Variance only)</t>
  </si>
  <si>
    <t xml:space="preserve">Series 100 Category Code Library</t>
  </si>
  <si>
    <t xml:space="preserve">FC 2-000-05N — Operational and Training Facilities (Marine Corps relevant CCNs).</t>
  </si>
  <si>
    <t xml:space="preserve">Default Factor</t>
  </si>
  <si>
    <t xml:space="preserve">Factor Notes / Formula</t>
  </si>
  <si>
    <t xml:space="preserve">Driver Description</t>
  </si>
  <si>
    <t xml:space="preserve">141 70</t>
  </si>
  <si>
    <t xml:space="preserve">Air Traffic Control Tower</t>
  </si>
  <si>
    <t xml:space="preserve">SF</t>
  </si>
  <si>
    <t xml:space="preserve">Standard 6-floor tower &amp; cab; add levels for height.</t>
  </si>
  <si>
    <t xml:space="preserve">Each tower</t>
  </si>
  <si>
    <t xml:space="preserve">Emergency Vehicle Garage</t>
  </si>
  <si>
    <t xml:space="preserve">see notes</t>
  </si>
  <si>
    <t xml:space="preserve">Vehicle area + 3 ft clearance/side × NTG 1.05.</t>
  </si>
  <si>
    <t xml:space="preserve">Sum of vehicle plan-areas</t>
  </si>
  <si>
    <t xml:space="preserve">Operational Vehicle Garage</t>
  </si>
  <si>
    <t xml:space="preserve">Per Table 14311-1 (Type A 108 NSF … Type G 888 NSF) + 250 SF mech rm.</t>
  </si>
  <si>
    <t xml:space="preserve"># of vehicles by Type A–G</t>
  </si>
  <si>
    <t xml:space="preserve">Operational Vehicle Laydown Area</t>
  </si>
  <si>
    <t xml:space="preserve">SY</t>
  </si>
  <si>
    <t xml:space="preserve">Per Table 14312-1 (Type A 19 GSY … Type G 99 GSY).</t>
  </si>
  <si>
    <t xml:space="preserve">143 13</t>
  </si>
  <si>
    <t xml:space="preserve">Operational Vehicle/Equipment Canopy</t>
  </si>
  <si>
    <t xml:space="preserve">Vehicle/equip area + circulation (drip line).</t>
  </si>
  <si>
    <t xml:space="preserve">Marine Corps EOD Facility</t>
  </si>
  <si>
    <t xml:space="preserve">7,000 GSF EOD bldg + 204 GSF Haz/Flam + magazines as required.</t>
  </si>
  <si>
    <t xml:space="preserve">Each EOD facility</t>
  </si>
  <si>
    <t xml:space="preserve">143 26</t>
  </si>
  <si>
    <t xml:space="preserve">Marine Corps EOD Company Facility</t>
  </si>
  <si>
    <t xml:space="preserve">NSF per function × NTG 1.40 (Admin 1,910 SF; classrooms via 171 10).</t>
  </si>
  <si>
    <t xml:space="preserve">Engineering analysis per function</t>
  </si>
  <si>
    <t xml:space="preserve">Armory</t>
  </si>
  <si>
    <t xml:space="preserve">Per Table 14345-1 (1–2K strength: 576 GSF; &gt;10K: +0.1 SF/PN).</t>
  </si>
  <si>
    <t xml:space="preserve">Military strength + weapons</t>
  </si>
  <si>
    <t xml:space="preserve">Marine Barracks - General Purpose</t>
  </si>
  <si>
    <t xml:space="preserve">Per Table 14346-1 (1–50: 75 GSF/PN; 201+: +30 GSF/PN).</t>
  </si>
  <si>
    <t xml:space="preserve"># of personnel barracked</t>
  </si>
  <si>
    <t xml:space="preserve">143 47</t>
  </si>
  <si>
    <t xml:space="preserve">Alert Force Building</t>
  </si>
  <si>
    <t xml:space="preserve">Engineering analysis (barracks + messing + duty + weapons stg).</t>
  </si>
  <si>
    <t xml:space="preserve">Alert force size</t>
  </si>
  <si>
    <t xml:space="preserve">Academic Instruction Building</t>
  </si>
  <si>
    <t xml:space="preserve">Per Table 17110-1 (broad: 45 GSF/student station, 75 GSF if modified). NTG 1.33.</t>
  </si>
  <si>
    <t xml:space="preserve"># of student stations</t>
  </si>
  <si>
    <t xml:space="preserve">171 15</t>
  </si>
  <si>
    <t xml:space="preserve">Navy/Marine Corps Reserve Training</t>
  </si>
  <si>
    <t xml:space="preserve">Via NOSC Space Program Spreadsheet (Tables 17115-1…9).</t>
  </si>
  <si>
    <t xml:space="preserve">Reserve unit composition</t>
  </si>
  <si>
    <t xml:space="preserve">Applied Instruction Building</t>
  </si>
  <si>
    <t xml:space="preserve">150 GSF/student station (broad); specialized (e.g., Flight Briefing 125 GSF).</t>
  </si>
  <si>
    <t xml:space="preserve">171 30</t>
  </si>
  <si>
    <t xml:space="preserve">Physical Education Facility</t>
  </si>
  <si>
    <t xml:space="preserve">Engineering analysis required.</t>
  </si>
  <si>
    <t xml:space="preserve">Engineering analysis</t>
  </si>
  <si>
    <t xml:space="preserve">Small Arms Range — Indoor</t>
  </si>
  <si>
    <t xml:space="preserve">Capacity = personnel trained ÷ (sessions × hrs/session × 180 days).</t>
  </si>
  <si>
    <t xml:space="preserve"># of firing points</t>
  </si>
  <si>
    <t xml:space="preserve">Range Operations Building</t>
  </si>
  <si>
    <t xml:space="preserve">Case-by-case (admin, storage, maintenance).</t>
  </si>
  <si>
    <t xml:space="preserve">Range Support Building</t>
  </si>
  <si>
    <t xml:space="preserve">Case-by-case (billets, classrooms, AAR).</t>
  </si>
  <si>
    <t xml:space="preserve">179 01</t>
  </si>
  <si>
    <t xml:space="preserve">Bayonet Assault Course</t>
  </si>
  <si>
    <t xml:space="preserve">EA</t>
  </si>
  <si>
    <t xml:space="preserve">1 EA per prepared path/set of targets.</t>
  </si>
  <si>
    <t xml:space="preserve"># of paths</t>
  </si>
  <si>
    <t xml:space="preserve">179 17</t>
  </si>
  <si>
    <t xml:space="preserve">Rappelling Training Area</t>
  </si>
  <si>
    <t xml:space="preserve">Case-by-case (≥1 structure).</t>
  </si>
  <si>
    <t xml:space="preserve"># of training areas</t>
  </si>
  <si>
    <t xml:space="preserve">Parade and Drill Field</t>
  </si>
  <si>
    <t xml:space="preserve">AC</t>
  </si>
  <si>
    <t xml:space="preserve">1 AC per 125 personnel.</t>
  </si>
  <si>
    <t xml:space="preserve">Personnel using field</t>
  </si>
  <si>
    <t xml:space="preserve">179 81</t>
  </si>
  <si>
    <t xml:space="preserve">Infiltration Course</t>
  </si>
  <si>
    <t xml:space="preserve">1 firing position per path/trail for 1 Marine.</t>
  </si>
  <si>
    <t xml:space="preserve"># of firing positions</t>
  </si>
  <si>
    <t xml:space="preserve">Confidence Course</t>
  </si>
  <si>
    <t xml:space="preserve">1 EA per complete course.</t>
  </si>
  <si>
    <t xml:space="preserve"># of courses</t>
  </si>
  <si>
    <t xml:space="preserve">Obstacle Course</t>
  </si>
  <si>
    <t xml:space="preserve">Case-by-case.</t>
  </si>
  <si>
    <t xml:space="preserve">Helper Table — CCN 143 11 / 143 12 Vehicle Type Factors</t>
  </si>
  <si>
    <t xml:space="preserve">Garage NSF (143 11)</t>
  </si>
  <si>
    <t xml:space="preserve">Laydown GSY (143 12)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</si>
</sst>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yyyy\-mm\-dd"/>
    <numFmt numFmtId="167" formatCode="\+#,##0;\-#,##0;0"/>
    <numFmt numFmtId="168" formatCode="#,##0.00"/>
    <numFmt numFmtId="169" formatCode="0.00"/>
    <numFmt numFmtId="170" formatCode="#,##0;[RED]\-#,##0"/>
    <numFmt numFmtId="171" formatCode="0.000"/>
    <numFmt numFmtId="172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28251D"/>
      <name val="Calibri"/>
      <family val="0"/>
      <charset val="1"/>
    </font>
    <font>
      <sz val="10"/>
      <color rgb="FF28251D"/>
      <name val="Calibri"/>
      <family val="0"/>
      <charset val="1"/>
    </font>
    <font>
      <b val="true"/>
      <sz val="10"/>
      <color rgb="FF6B2A0A"/>
      <name val="Calibri"/>
      <family val="0"/>
      <charset val="1"/>
    </font>
    <font>
      <b val="true"/>
      <sz val="11"/>
      <color rgb="FF28251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i val="true"/>
      <sz val="10"/>
      <color rgb="FF6B2A0A"/>
      <name val="Calibri"/>
      <family val="0"/>
      <charset val="1"/>
    </font>
    <font>
      <b val="true"/>
      <sz val="11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C2340"/>
        <bgColor rgb="FF28251D"/>
      </patternFill>
    </fill>
    <fill>
      <patternFill patternType="solid">
        <fgColor rgb="FF1B3A5C"/>
        <bgColor rgb="FF0C2340"/>
      </patternFill>
    </fill>
    <fill>
      <patternFill patternType="solid">
        <fgColor rgb="FFEAEAE3"/>
        <bgColor rgb="FFEAF3F4"/>
      </patternFill>
    </fill>
    <fill>
      <patternFill patternType="solid">
        <fgColor rgb="FFFFF8DC"/>
        <bgColor rgb="FFF7F6F2"/>
      </patternFill>
    </fill>
    <fill>
      <patternFill patternType="solid">
        <fgColor rgb="FFF8E2D6"/>
        <bgColor rgb="FFEAEAE3"/>
      </patternFill>
    </fill>
    <fill>
      <patternFill patternType="solid">
        <fgColor rgb="FFEAF3F4"/>
        <bgColor rgb="FFF7F6F2"/>
      </patternFill>
    </fill>
    <fill>
      <patternFill patternType="solid">
        <fgColor rgb="FFDCE7C8"/>
        <bgColor rgb="FFEAEAE3"/>
      </patternFill>
    </fill>
    <fill>
      <patternFill patternType="solid">
        <fgColor rgb="FFF7F6F2"/>
        <bgColor rgb="FFEAF3F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 diagonalUp="false" diagonalDown="false">
      <left style="thin">
        <color rgb="FFD4D1CA"/>
      </left>
      <right/>
      <top style="thin">
        <color rgb="FFD4D1CA"/>
      </top>
      <bottom style="thin">
        <color rgb="FFD4D1CA"/>
      </bottom>
      <diagonal/>
    </border>
    <border diagonalUp="false" diagonalDown="false">
      <left/>
      <right/>
      <top/>
      <bottom style="thin">
        <color rgb="FFD4D1CA"/>
      </bottom>
      <diagonal/>
    </border>
    <border diagonalUp="false" diagonalDown="false">
      <left/>
      <right/>
      <top style="thin">
        <color rgb="FFD4D1CA"/>
      </top>
      <bottom style="thin">
        <color rgb="FFD4D1CA"/>
      </bottom>
      <diagonal/>
    </border>
    <border diagonalUp="false" diagonalDown="false">
      <left style="thin">
        <color rgb="FFD4D1CA"/>
      </left>
      <right style="thin">
        <color rgb="FFD4D1CA"/>
      </right>
      <top/>
      <bottom/>
      <diagonal/>
    </border>
    <border diagonalUp="false" diagonalDown="false">
      <left style="thin">
        <color rgb="FFD4D1CA"/>
      </left>
      <right/>
      <top style="thin">
        <color rgb="FFD4D1C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8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7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9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E2D6"/>
        </patternFill>
      </fill>
    </dxf>
    <dxf>
      <fill>
        <patternFill>
          <bgColor rgb="FFF8E2D6"/>
        </patternFill>
      </fill>
    </dxf>
    <dxf>
      <fill>
        <patternFill>
          <bgColor rgb="FFDCE7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D1CA"/>
      <rgbColor rgb="FF7A7974"/>
      <rgbColor rgb="FF9999FF"/>
      <rgbColor rgb="FF993366"/>
      <rgbColor rgb="FFFFF8DC"/>
      <rgbColor rgb="FFEA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3"/>
      <rgbColor rgb="FFDCE7C8"/>
      <rgbColor rgb="FFF7F6F2"/>
      <rgbColor rgb="FF99CCFF"/>
      <rgbColor rgb="FFFF99CC"/>
      <rgbColor rgb="FFCC99FF"/>
      <rgbColor rgb="FFF8E2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C2340"/>
      <rgbColor rgb="FF333300"/>
      <rgbColor rgb="FF6B2A0A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"/>
    <col collapsed="false" customWidth="true" hidden="false" outlineLevel="0" max="7" min="3" style="1" width="24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21.7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C6" s="5" t="s">
        <v>3</v>
      </c>
      <c r="D6" s="6"/>
      <c r="E6" s="6"/>
      <c r="F6" s="6"/>
      <c r="G6" s="6"/>
    </row>
    <row r="7" customFormat="false" ht="15" hidden="false" customHeight="true" outlineLevel="0" collapsed="false">
      <c r="C7" s="5" t="s">
        <v>4</v>
      </c>
      <c r="D7" s="6" t="s">
        <v>5</v>
      </c>
      <c r="E7" s="6"/>
      <c r="F7" s="6"/>
      <c r="G7" s="6"/>
    </row>
    <row r="8" customFormat="false" ht="15" hidden="false" customHeight="true" outlineLevel="0" collapsed="false">
      <c r="C8" s="5" t="s">
        <v>6</v>
      </c>
      <c r="D8" s="6"/>
      <c r="E8" s="6"/>
      <c r="F8" s="6"/>
      <c r="G8" s="6"/>
    </row>
    <row r="9" customFormat="false" ht="15" hidden="false" customHeight="true" outlineLevel="0" collapsed="false">
      <c r="C9" s="5" t="s">
        <v>7</v>
      </c>
      <c r="D9" s="6" t="s">
        <v>8</v>
      </c>
      <c r="E9" s="6"/>
      <c r="F9" s="6"/>
      <c r="G9" s="6"/>
    </row>
    <row r="10" customFormat="false" ht="15" hidden="false" customHeight="true" outlineLevel="0" collapsed="false">
      <c r="C10" s="5" t="s">
        <v>9</v>
      </c>
      <c r="D10" s="6" t="s">
        <v>10</v>
      </c>
      <c r="E10" s="6"/>
      <c r="F10" s="6"/>
      <c r="G10" s="6"/>
    </row>
    <row r="11" customFormat="false" ht="15" hidden="false" customHeight="true" outlineLevel="0" collapsed="false">
      <c r="C11" s="5" t="s">
        <v>11</v>
      </c>
      <c r="D11" s="6" t="s">
        <v>12</v>
      </c>
      <c r="E11" s="6"/>
      <c r="F11" s="6"/>
      <c r="G11" s="6"/>
    </row>
    <row r="12" customFormat="false" ht="15" hidden="false" customHeight="true" outlineLevel="0" collapsed="false">
      <c r="C12" s="5" t="s">
        <v>13</v>
      </c>
      <c r="D12" s="6"/>
      <c r="E12" s="6"/>
      <c r="F12" s="6"/>
      <c r="G12" s="6"/>
    </row>
    <row r="13" customFormat="false" ht="15" hidden="false" customHeight="true" outlineLevel="0" collapsed="false">
      <c r="C13" s="5" t="s">
        <v>14</v>
      </c>
      <c r="D13" s="6"/>
      <c r="E13" s="6"/>
      <c r="F13" s="6"/>
      <c r="G13" s="6"/>
    </row>
    <row r="14" customFormat="false" ht="15" hidden="false" customHeight="true" outlineLevel="0" collapsed="false">
      <c r="C14" s="5" t="s">
        <v>15</v>
      </c>
      <c r="D14" s="6"/>
      <c r="E14" s="6"/>
      <c r="F14" s="6"/>
      <c r="G14" s="6"/>
    </row>
    <row r="15" customFormat="false" ht="15" hidden="false" customHeight="true" outlineLevel="0" collapsed="false">
      <c r="C15" s="5" t="s">
        <v>16</v>
      </c>
      <c r="D15" s="6"/>
      <c r="E15" s="6"/>
      <c r="F15" s="6"/>
      <c r="G15" s="6"/>
    </row>
    <row r="17" customFormat="false" ht="21.75" hidden="false" customHeight="true" outlineLevel="0" collapsed="false">
      <c r="B17" s="4" t="s">
        <v>17</v>
      </c>
      <c r="C17" s="4"/>
      <c r="D17" s="4"/>
      <c r="E17" s="4"/>
      <c r="F17" s="4"/>
      <c r="G17" s="4"/>
    </row>
    <row r="18" customFormat="false" ht="30" hidden="false" customHeight="true" outlineLevel="0" collapsed="false">
      <c r="B18" s="7" t="s">
        <v>18</v>
      </c>
      <c r="C18" s="7"/>
      <c r="D18" s="7"/>
      <c r="E18" s="7"/>
      <c r="F18" s="7"/>
      <c r="G18" s="7"/>
    </row>
    <row r="19" customFormat="false" ht="30" hidden="false" customHeight="true" outlineLevel="0" collapsed="false">
      <c r="B19" s="7" t="s">
        <v>19</v>
      </c>
      <c r="C19" s="7"/>
      <c r="D19" s="7"/>
      <c r="E19" s="7"/>
      <c r="F19" s="7"/>
      <c r="G19" s="7"/>
    </row>
    <row r="20" customFormat="false" ht="30" hidden="false" customHeight="true" outlineLevel="0" collapsed="false">
      <c r="B20" s="7" t="s">
        <v>20</v>
      </c>
      <c r="C20" s="7"/>
      <c r="D20" s="7"/>
      <c r="E20" s="7"/>
      <c r="F20" s="7"/>
      <c r="G20" s="7"/>
    </row>
    <row r="21" customFormat="false" ht="30" hidden="false" customHeight="true" outlineLevel="0" collapsed="false">
      <c r="B21" s="7" t="s">
        <v>21</v>
      </c>
      <c r="C21" s="7"/>
      <c r="D21" s="7"/>
      <c r="E21" s="7"/>
      <c r="F21" s="7"/>
      <c r="G21" s="7"/>
    </row>
    <row r="22" customFormat="false" ht="30" hidden="false" customHeight="true" outlineLevel="0" collapsed="false">
      <c r="B22" s="7" t="s">
        <v>22</v>
      </c>
      <c r="C22" s="7"/>
      <c r="D22" s="7"/>
      <c r="E22" s="7"/>
      <c r="F22" s="7"/>
      <c r="G22" s="7"/>
    </row>
    <row r="23" customFormat="false" ht="30" hidden="false" customHeight="true" outlineLevel="0" collapsed="false">
      <c r="B23" s="7" t="s">
        <v>23</v>
      </c>
      <c r="C23" s="7"/>
      <c r="D23" s="7"/>
      <c r="E23" s="7"/>
      <c r="F23" s="7"/>
      <c r="G23" s="7"/>
    </row>
    <row r="24" customFormat="false" ht="30" hidden="false" customHeight="true" outlineLevel="0" collapsed="false">
      <c r="B24" s="7" t="s">
        <v>24</v>
      </c>
      <c r="C24" s="7"/>
      <c r="D24" s="7"/>
      <c r="E24" s="7"/>
      <c r="F24" s="7"/>
      <c r="G24" s="7"/>
    </row>
    <row r="25" customFormat="false" ht="30" hidden="false" customHeight="true" outlineLevel="0" collapsed="false">
      <c r="B25" s="7" t="s">
        <v>25</v>
      </c>
      <c r="C25" s="7"/>
      <c r="D25" s="7"/>
      <c r="E25" s="7"/>
      <c r="F25" s="7"/>
      <c r="G25" s="7"/>
    </row>
    <row r="26" customFormat="false" ht="36" hidden="false" customHeight="true" outlineLevel="0" collapsed="false">
      <c r="B26" s="8" t="s">
        <v>26</v>
      </c>
      <c r="C26" s="8"/>
      <c r="D26" s="8"/>
      <c r="E26" s="8"/>
      <c r="F26" s="8"/>
      <c r="G26" s="8"/>
    </row>
    <row r="27" customFormat="false" ht="21.75" hidden="false" customHeight="true" outlineLevel="0" collapsed="false">
      <c r="B27" s="9"/>
      <c r="C27" s="9"/>
      <c r="D27" s="9"/>
      <c r="E27" s="9"/>
      <c r="F27" s="9"/>
      <c r="G27" s="9"/>
    </row>
    <row r="28" customFormat="false" ht="15" hidden="false" customHeight="true" outlineLevel="0" collapsed="false">
      <c r="B28" s="10" t="s">
        <v>27</v>
      </c>
      <c r="D28" s="9"/>
      <c r="E28" s="9"/>
      <c r="F28" s="9"/>
      <c r="G28" s="9"/>
    </row>
    <row r="29" customFormat="false" ht="15" hidden="false" customHeight="true" outlineLevel="0" collapsed="false">
      <c r="C29" s="11" t="s">
        <v>28</v>
      </c>
      <c r="D29" s="12" t="s">
        <v>29</v>
      </c>
      <c r="E29" s="12"/>
      <c r="F29" s="12"/>
      <c r="G29" s="12"/>
    </row>
    <row r="30" customFormat="false" ht="15" hidden="false" customHeight="true" outlineLevel="0" collapsed="false">
      <c r="C30" s="13" t="s">
        <v>28</v>
      </c>
      <c r="D30" s="12" t="s">
        <v>30</v>
      </c>
      <c r="E30" s="12"/>
      <c r="F30" s="12"/>
      <c r="G30" s="12"/>
    </row>
    <row r="31" customFormat="false" ht="15" hidden="false" customHeight="true" outlineLevel="0" collapsed="false">
      <c r="C31" s="14" t="s">
        <v>28</v>
      </c>
      <c r="D31" s="12" t="s">
        <v>31</v>
      </c>
      <c r="E31" s="12"/>
      <c r="F31" s="12"/>
      <c r="G31" s="12"/>
    </row>
    <row r="32" customFormat="false" ht="15" hidden="false" customHeight="false" outlineLevel="0" collapsed="false">
      <c r="C32" s="15" t="s">
        <v>28</v>
      </c>
      <c r="D32" s="16" t="s">
        <v>32</v>
      </c>
    </row>
    <row r="33" customFormat="false" ht="21.75" hidden="false" customHeight="true" outlineLevel="0" collapsed="false">
      <c r="B33" s="9"/>
      <c r="C33" s="9"/>
      <c r="D33" s="9"/>
      <c r="E33" s="9"/>
      <c r="F33" s="9"/>
      <c r="G33" s="9"/>
    </row>
    <row r="34" customFormat="false" ht="18" hidden="false" customHeight="true" outlineLevel="0" collapsed="false">
      <c r="B34" s="4" t="s">
        <v>33</v>
      </c>
      <c r="C34" s="4"/>
      <c r="D34" s="4"/>
      <c r="E34" s="4"/>
      <c r="F34" s="4"/>
      <c r="G34" s="4"/>
    </row>
    <row r="35" customFormat="false" ht="18" hidden="false" customHeight="true" outlineLevel="0" collapsed="false">
      <c r="B35" s="17" t="s">
        <v>34</v>
      </c>
      <c r="C35" s="17"/>
      <c r="D35" s="17"/>
      <c r="E35" s="17"/>
      <c r="F35" s="17"/>
      <c r="G35" s="17"/>
    </row>
    <row r="36" customFormat="false" ht="18" hidden="false" customHeight="true" outlineLevel="0" collapsed="false">
      <c r="B36" s="17" t="s">
        <v>35</v>
      </c>
      <c r="C36" s="17"/>
      <c r="D36" s="17"/>
      <c r="E36" s="17"/>
      <c r="F36" s="17"/>
      <c r="G36" s="17"/>
    </row>
    <row r="37" customFormat="false" ht="18" hidden="false" customHeight="true" outlineLevel="0" collapsed="false">
      <c r="B37" s="17" t="s">
        <v>36</v>
      </c>
      <c r="C37" s="17"/>
      <c r="D37" s="17"/>
      <c r="E37" s="17"/>
      <c r="F37" s="17"/>
      <c r="G37" s="17"/>
    </row>
    <row r="38" customFormat="false" ht="18" hidden="false" customHeight="true" outlineLevel="0" collapsed="false">
      <c r="B38" s="17" t="s">
        <v>37</v>
      </c>
      <c r="C38" s="17"/>
      <c r="D38" s="17"/>
      <c r="E38" s="17"/>
      <c r="F38" s="17"/>
      <c r="G38" s="17"/>
    </row>
    <row r="39" customFormat="false" ht="18" hidden="false" customHeight="true" outlineLevel="0" collapsed="false">
      <c r="B39" s="17" t="s">
        <v>38</v>
      </c>
      <c r="C39" s="17"/>
      <c r="D39" s="17"/>
      <c r="E39" s="17"/>
      <c r="F39" s="17"/>
      <c r="G39" s="17"/>
    </row>
    <row r="40" customFormat="false" ht="18" hidden="false" customHeight="true" outlineLevel="0" collapsed="false">
      <c r="B40" s="17" t="s">
        <v>39</v>
      </c>
      <c r="C40" s="17"/>
      <c r="D40" s="17"/>
      <c r="E40" s="17"/>
      <c r="F40" s="17"/>
      <c r="G40" s="17"/>
    </row>
    <row r="41" customFormat="false" ht="18" hidden="false" customHeight="true" outlineLevel="0" collapsed="false">
      <c r="B41" s="17" t="s">
        <v>40</v>
      </c>
      <c r="C41" s="17"/>
      <c r="D41" s="17"/>
      <c r="E41" s="17"/>
      <c r="F41" s="17"/>
      <c r="G41" s="17"/>
    </row>
    <row r="42" customFormat="false" ht="314.9" hidden="false" customHeight="false" outlineLevel="0" collapsed="false">
      <c r="B42" s="18" t="s">
        <v>41</v>
      </c>
    </row>
  </sheetData>
  <mergeCells count="37">
    <mergeCell ref="B2:G2"/>
    <mergeCell ref="B3:G3"/>
    <mergeCell ref="B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D28:G28"/>
    <mergeCell ref="D29:G29"/>
    <mergeCell ref="D30:G30"/>
    <mergeCell ref="D31:G31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36"/>
    <col collapsed="false" customWidth="true" hidden="false" outlineLevel="0" max="14" min="4" style="1" width="10"/>
    <col collapsed="false" customWidth="true" hidden="false" outlineLevel="0" max="15" min="15" style="1" width="12"/>
    <col collapsed="false" customWidth="true" hidden="false" outlineLevel="0" max="18" min="16" style="0" width="14"/>
    <col collapsed="false" customWidth="true" hidden="false" outlineLevel="0" max="19" min="19" style="0" width="50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" t="s">
        <v>42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8" hidden="false" customHeight="true" outlineLevel="0" collapsed="false">
      <c r="B3" s="3" t="s">
        <v>43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customFormat="false" ht="42" hidden="false" customHeight="true" outlineLevel="0" collapsed="false">
      <c r="B5" s="8" t="s">
        <v>44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customFormat="false" ht="15" hidden="false" customHeight="true" outlineLevel="0" collapsed="false">
      <c r="B6" s="4" t="s">
        <v>45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9"/>
      <c r="Q6" s="19"/>
      <c r="R6" s="19"/>
      <c r="S6" s="19"/>
    </row>
    <row r="7" customFormat="false" ht="15" hidden="false" customHeight="true" outlineLevel="0" collapsed="false">
      <c r="B7" s="4" t="s">
        <v>46</v>
      </c>
      <c r="C7" s="9" t="s">
        <v>47</v>
      </c>
      <c r="D7" s="20" t="s">
        <v>48</v>
      </c>
      <c r="E7" s="21"/>
      <c r="F7" s="20" t="s">
        <v>49</v>
      </c>
      <c r="G7" s="21"/>
      <c r="H7" s="20" t="s">
        <v>50</v>
      </c>
      <c r="I7" s="21"/>
      <c r="J7" s="20" t="s">
        <v>51</v>
      </c>
      <c r="K7" s="21"/>
      <c r="L7" s="9" t="s">
        <v>52</v>
      </c>
      <c r="M7" s="9" t="s">
        <v>53</v>
      </c>
      <c r="N7" s="9" t="s">
        <v>54</v>
      </c>
      <c r="O7" s="9" t="s">
        <v>55</v>
      </c>
      <c r="P7" s="19" t="s">
        <v>56</v>
      </c>
      <c r="Q7" s="19" t="s">
        <v>57</v>
      </c>
      <c r="R7" s="19" t="s">
        <v>58</v>
      </c>
      <c r="S7" s="19" t="s">
        <v>59</v>
      </c>
    </row>
    <row r="8" customFormat="false" ht="19.5" hidden="false" customHeight="true" outlineLevel="0" collapsed="false">
      <c r="B8" s="22"/>
      <c r="C8" s="22"/>
      <c r="D8" s="23" t="s">
        <v>60</v>
      </c>
      <c r="E8" s="23" t="s">
        <v>61</v>
      </c>
      <c r="F8" s="23" t="s">
        <v>60</v>
      </c>
      <c r="G8" s="23" t="s">
        <v>61</v>
      </c>
      <c r="H8" s="23" t="s">
        <v>60</v>
      </c>
      <c r="I8" s="23" t="s">
        <v>61</v>
      </c>
      <c r="J8" s="23" t="s">
        <v>60</v>
      </c>
      <c r="K8" s="23" t="s">
        <v>61</v>
      </c>
      <c r="L8" s="22"/>
      <c r="M8" s="22"/>
      <c r="N8" s="22"/>
      <c r="O8" s="22"/>
    </row>
    <row r="9" customFormat="false" ht="19.5" hidden="false" customHeight="true" outlineLevel="0" collapsed="false">
      <c r="B9" s="24" t="s">
        <v>62</v>
      </c>
      <c r="C9" s="25" t="s">
        <v>63</v>
      </c>
      <c r="D9" s="26" t="n">
        <v>12</v>
      </c>
      <c r="E9" s="26" t="n">
        <v>60</v>
      </c>
      <c r="F9" s="26" t="n">
        <v>2</v>
      </c>
      <c r="G9" s="26" t="n">
        <v>11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  <c r="N9" s="26" t="n">
        <v>0</v>
      </c>
      <c r="O9" s="27" t="n">
        <f aca="false">SUM(D8:N8)</f>
        <v>0</v>
      </c>
      <c r="P9" s="28" t="s">
        <v>64</v>
      </c>
      <c r="Q9" s="24" t="s">
        <v>65</v>
      </c>
      <c r="R9" s="29"/>
      <c r="S9" s="25" t="s">
        <v>66</v>
      </c>
    </row>
    <row r="10" customFormat="false" ht="19.5" hidden="false" customHeight="true" outlineLevel="0" collapsed="false">
      <c r="B10" s="24" t="s">
        <v>67</v>
      </c>
      <c r="C10" s="25" t="s">
        <v>68</v>
      </c>
      <c r="D10" s="26" t="n">
        <v>3</v>
      </c>
      <c r="E10" s="26" t="n">
        <v>55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0</v>
      </c>
      <c r="N10" s="26" t="n">
        <v>0</v>
      </c>
      <c r="O10" s="27" t="n">
        <f aca="false">SUM(D9:N9)</f>
        <v>85</v>
      </c>
      <c r="P10" s="28" t="s">
        <v>64</v>
      </c>
      <c r="Q10" s="24" t="s">
        <v>65</v>
      </c>
      <c r="R10" s="29"/>
      <c r="S10" s="25" t="s">
        <v>69</v>
      </c>
    </row>
    <row r="11" customFormat="false" ht="19.5" hidden="false" customHeight="true" outlineLevel="0" collapsed="false">
      <c r="B11" s="24" t="s">
        <v>70</v>
      </c>
      <c r="C11" s="25" t="s">
        <v>71</v>
      </c>
      <c r="D11" s="26" t="n">
        <v>3</v>
      </c>
      <c r="E11" s="26" t="n">
        <v>55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v>0</v>
      </c>
      <c r="N11" s="26" t="n">
        <v>0</v>
      </c>
      <c r="O11" s="27" t="n">
        <f aca="false">SUM(D10:N10)</f>
        <v>58</v>
      </c>
      <c r="P11" s="28" t="s">
        <v>64</v>
      </c>
      <c r="Q11" s="24" t="s">
        <v>65</v>
      </c>
      <c r="R11" s="29"/>
      <c r="S11" s="25" t="s">
        <v>72</v>
      </c>
    </row>
    <row r="12" customFormat="false" ht="19.5" hidden="false" customHeight="true" outlineLevel="0" collapsed="false">
      <c r="B12" s="24" t="s">
        <v>73</v>
      </c>
      <c r="C12" s="25" t="s">
        <v>74</v>
      </c>
      <c r="D12" s="26" t="n">
        <v>4</v>
      </c>
      <c r="E12" s="26" t="n">
        <v>79</v>
      </c>
      <c r="F12" s="26" t="n">
        <v>6</v>
      </c>
      <c r="G12" s="26" t="n">
        <v>17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  <c r="N12" s="26" t="n">
        <v>3</v>
      </c>
      <c r="O12" s="27" t="n">
        <f aca="false">SUM(D11:N11)</f>
        <v>58</v>
      </c>
      <c r="P12" s="28" t="s">
        <v>64</v>
      </c>
      <c r="Q12" s="24" t="s">
        <v>65</v>
      </c>
      <c r="R12" s="29"/>
      <c r="S12" s="25" t="s">
        <v>75</v>
      </c>
    </row>
    <row r="13" customFormat="false" ht="19.5" hidden="false" customHeight="true" outlineLevel="0" collapsed="false">
      <c r="B13" s="24"/>
      <c r="C13" s="25"/>
      <c r="D13" s="26" t="n">
        <v>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v>0</v>
      </c>
      <c r="N13" s="26" t="n">
        <v>0</v>
      </c>
      <c r="O13" s="27" t="n">
        <f aca="false">SUM(D12:N12)</f>
        <v>109</v>
      </c>
      <c r="P13" s="28"/>
      <c r="Q13" s="24"/>
      <c r="R13" s="29"/>
      <c r="S13" s="25"/>
    </row>
    <row r="14" customFormat="false" ht="19.5" hidden="false" customHeight="true" outlineLevel="0" collapsed="false">
      <c r="B14" s="24"/>
      <c r="C14" s="25"/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26" t="n">
        <v>0</v>
      </c>
      <c r="M14" s="26" t="n">
        <v>0</v>
      </c>
      <c r="N14" s="26" t="n">
        <v>0</v>
      </c>
      <c r="O14" s="27" t="n">
        <f aca="false">SUM(D13:N13)</f>
        <v>0</v>
      </c>
      <c r="P14" s="28"/>
      <c r="Q14" s="24"/>
      <c r="R14" s="29"/>
      <c r="S14" s="25"/>
    </row>
    <row r="15" customFormat="false" ht="19.5" hidden="false" customHeight="true" outlineLevel="0" collapsed="false">
      <c r="B15" s="24"/>
      <c r="C15" s="25"/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7" t="n">
        <f aca="false">SUM(D14:N14)</f>
        <v>0</v>
      </c>
      <c r="P15" s="28"/>
      <c r="Q15" s="24"/>
      <c r="R15" s="29"/>
      <c r="S15" s="25"/>
    </row>
    <row r="16" customFormat="false" ht="24" hidden="false" customHeight="true" outlineLevel="0" collapsed="false">
      <c r="B16" s="24"/>
      <c r="C16" s="24"/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7" t="n">
        <f aca="false">SUM(D15:N15)</f>
        <v>0</v>
      </c>
      <c r="P16" s="28"/>
      <c r="Q16" s="24"/>
      <c r="R16" s="29"/>
      <c r="S16" s="25"/>
    </row>
    <row r="17" customFormat="false" ht="28.35" hidden="false" customHeight="false" outlineLevel="0" collapsed="false">
      <c r="B17" s="30" t="s">
        <v>76</v>
      </c>
      <c r="D17" s="27" t="n">
        <f aca="false">SUM(D8:D15)</f>
        <v>22</v>
      </c>
      <c r="E17" s="27" t="n">
        <f aca="false">SUM(E8:E15)</f>
        <v>249</v>
      </c>
      <c r="F17" s="27" t="n">
        <f aca="false">SUM(F8:F15)</f>
        <v>8</v>
      </c>
      <c r="G17" s="27" t="n">
        <f aca="false">SUM(G8:G15)</f>
        <v>28</v>
      </c>
      <c r="H17" s="27" t="n">
        <f aca="false">SUM(H8:H15)</f>
        <v>0</v>
      </c>
      <c r="I17" s="27" t="n">
        <f aca="false">SUM(I8:I15)</f>
        <v>0</v>
      </c>
      <c r="J17" s="27" t="n">
        <f aca="false">SUM(J8:J15)</f>
        <v>0</v>
      </c>
      <c r="K17" s="27" t="n">
        <f aca="false">SUM(K8:K15)</f>
        <v>0</v>
      </c>
      <c r="L17" s="27" t="n">
        <f aca="false">SUM(L8:L15)</f>
        <v>0</v>
      </c>
      <c r="M17" s="27" t="n">
        <f aca="false">SUM(M8:M15)</f>
        <v>0</v>
      </c>
      <c r="N17" s="27" t="n">
        <f aca="false">SUM(N8:N15)</f>
        <v>3</v>
      </c>
      <c r="O17" s="27" t="n">
        <f aca="false">SUM(O8:O15)</f>
        <v>310</v>
      </c>
    </row>
    <row r="18" customFormat="false" ht="15" hidden="false" customHeight="false" outlineLevel="0" collapsed="false"/>
    <row r="19" customFormat="false" ht="21.75" hidden="false" customHeight="true" outlineLevel="0" collapsed="false">
      <c r="B19" s="31" t="s">
        <v>77</v>
      </c>
      <c r="C19" s="31"/>
      <c r="D19" s="31" t="n">
        <f aca="false">SUMPRODUCT((B9:B16&lt;&gt;"")*(Q9:Q16&lt;&gt;"Yes")*(Q9:Q16&lt;&gt;"N/A"))</f>
        <v>4</v>
      </c>
      <c r="E19" s="31" t="s">
        <v>78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customFormat="false" ht="15" hidden="false" customHeight="true" outlineLevel="0" collapsed="false">
      <c r="B20" s="4" t="s">
        <v>79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customFormat="false" ht="15" hidden="false" customHeight="true" outlineLevel="0" collapsed="false">
      <c r="B21" s="4" t="s">
        <v>80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customFormat="false" ht="15" hidden="false" customHeight="true" outlineLevel="0" collapsed="false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customFormat="false" ht="15" hidden="false" customHeight="true" outlineLevel="0" collapsed="false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customFormat="false" ht="15" hidden="false" customHeight="true" outlineLevel="0" collapsed="false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customFormat="false" ht="15" hidden="false" customHeight="false" outlineLevel="0" collapsed="false"/>
  </sheetData>
  <mergeCells count="20">
    <mergeCell ref="B2:O2"/>
    <mergeCell ref="B3:O3"/>
    <mergeCell ref="B5:O5"/>
    <mergeCell ref="B6:B7"/>
    <mergeCell ref="C6:C7"/>
    <mergeCell ref="D6:E6"/>
    <mergeCell ref="F6:G6"/>
    <mergeCell ref="H6:I6"/>
    <mergeCell ref="J6:K6"/>
    <mergeCell ref="L6:L7"/>
    <mergeCell ref="M6:M7"/>
    <mergeCell ref="N6:N7"/>
    <mergeCell ref="O6:O7"/>
    <mergeCell ref="P6:P7"/>
    <mergeCell ref="Q6:Q7"/>
    <mergeCell ref="R6:R7"/>
    <mergeCell ref="S6:S7"/>
    <mergeCell ref="B16:C16"/>
    <mergeCell ref="B19:O19"/>
    <mergeCell ref="B20:O24"/>
  </mergeCells>
  <conditionalFormatting sqref="Q8:Q15">
    <cfRule type="expression" priority="2" aboveAverage="0" equalAverage="0" bottom="0" percent="0" rank="0" text="" dxfId="0">
      <formula>NOT(OR(Q8="Yes",Q8="N/A"))</formula>
    </cfRule>
  </conditionalFormatting>
  <conditionalFormatting sqref="R8:R15">
    <cfRule type="cellIs" priority="3" operator="notEqual" aboveAverage="0" equalAverage="0" bottom="0" percent="0" rank="0" text="" dxfId="0">
      <formula>0</formula>
    </cfRule>
  </conditionalFormatting>
  <dataValidations count="1">
    <dataValidation allowBlank="true" errorStyle="stop" operator="between" showDropDown="false" showErrorMessage="false" showInputMessage="false" sqref="Q8:Q15" type="list">
      <formula1>"Yes,No,Pending,N/A"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34"/>
    <col collapsed="false" customWidth="true" hidden="false" outlineLevel="0" max="7" min="4" style="1" width="14"/>
    <col collapsed="false" customWidth="true" hidden="false" outlineLevel="0" max="8" min="8" style="1" width="18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" t="s">
        <v>81</v>
      </c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B3" s="3" t="s">
        <v>82</v>
      </c>
      <c r="C3" s="3"/>
      <c r="D3" s="3"/>
      <c r="E3" s="3"/>
      <c r="F3" s="3"/>
      <c r="G3" s="3"/>
      <c r="H3" s="3"/>
    </row>
    <row r="4" customFormat="false" ht="68.25" hidden="false" customHeight="true" outlineLevel="0" collapsed="false">
      <c r="B4" s="5" t="s">
        <v>83</v>
      </c>
      <c r="C4" s="24" t="s">
        <v>84</v>
      </c>
      <c r="D4" s="32" t="str">
        <f aca="false">IF(TFSMS_UNRECONCILED&gt;0,"⚠ "&amp;TFSMS_UNRECONCILED&amp;" TFSMS rows are NOT yet reconciled against the ASR — review before treating BFR outputs as authoritative.","TFSMS data marked reconciled or not in use.")</f>
        <v>⚠ 4 TFSMS rows are NOT yet reconciled against the ASR — review before treating BFR outputs as authoritative.</v>
      </c>
      <c r="E4" s="32"/>
      <c r="F4" s="32"/>
      <c r="G4" s="32"/>
      <c r="H4" s="32"/>
    </row>
    <row r="5" customFormat="false" ht="21.75" hidden="false" customHeight="true" outlineLevel="0" collapsed="false">
      <c r="B5" s="4" t="s">
        <v>85</v>
      </c>
      <c r="C5" s="4"/>
      <c r="D5" s="4"/>
      <c r="E5" s="4"/>
      <c r="F5" s="4"/>
      <c r="G5" s="4"/>
      <c r="H5" s="4"/>
    </row>
    <row r="6" customFormat="false" ht="41.25" hidden="false" customHeight="true" outlineLevel="0" collapsed="false">
      <c r="B6" s="33" t="s">
        <v>86</v>
      </c>
      <c r="C6" s="33" t="s">
        <v>87</v>
      </c>
      <c r="D6" s="33" t="s">
        <v>88</v>
      </c>
      <c r="E6" s="33" t="s">
        <v>89</v>
      </c>
      <c r="F6" s="33" t="s">
        <v>52</v>
      </c>
      <c r="G6" s="33" t="s">
        <v>53</v>
      </c>
      <c r="H6" s="33" t="s">
        <v>90</v>
      </c>
    </row>
    <row r="7" customFormat="false" ht="147" hidden="false" customHeight="true" outlineLevel="0" collapsed="false">
      <c r="B7" s="5" t="s">
        <v>91</v>
      </c>
      <c r="C7" s="34" t="n">
        <v>2</v>
      </c>
      <c r="D7" s="34" t="n">
        <v>12</v>
      </c>
      <c r="E7" s="34" t="n">
        <v>2</v>
      </c>
      <c r="F7" s="34" t="n">
        <v>1</v>
      </c>
      <c r="G7" s="35" t="n">
        <f aca="false">SUM(C7:F7)</f>
        <v>17</v>
      </c>
    </row>
    <row r="8" customFormat="false" ht="147" hidden="false" customHeight="true" outlineLevel="0" collapsed="false">
      <c r="B8" s="5" t="s">
        <v>92</v>
      </c>
      <c r="C8" s="34" t="n">
        <v>4</v>
      </c>
      <c r="D8" s="34" t="n">
        <v>120</v>
      </c>
      <c r="E8" s="34" t="n">
        <v>0</v>
      </c>
      <c r="F8" s="34" t="n">
        <v>0</v>
      </c>
      <c r="G8" s="35" t="n">
        <f aca="false">SUM(C8:F8)</f>
        <v>124</v>
      </c>
    </row>
    <row r="9" customFormat="false" ht="79.5" hidden="false" customHeight="true" outlineLevel="0" collapsed="false">
      <c r="B9" s="5" t="s">
        <v>93</v>
      </c>
      <c r="C9" s="34" t="n">
        <v>1</v>
      </c>
      <c r="D9" s="34" t="n">
        <v>8</v>
      </c>
      <c r="E9" s="34" t="n">
        <v>1</v>
      </c>
      <c r="F9" s="34" t="n">
        <v>0</v>
      </c>
      <c r="G9" s="35" t="n">
        <f aca="false">SUM(C9:F9)</f>
        <v>10</v>
      </c>
    </row>
    <row r="10" customFormat="false" ht="113.25" hidden="false" customHeight="true" outlineLevel="0" collapsed="false">
      <c r="B10" s="5" t="s">
        <v>94</v>
      </c>
      <c r="C10" s="34" t="n">
        <v>2</v>
      </c>
      <c r="D10" s="34" t="n">
        <v>24</v>
      </c>
      <c r="E10" s="34" t="n">
        <v>3</v>
      </c>
      <c r="F10" s="34" t="n">
        <v>2</v>
      </c>
      <c r="G10" s="35" t="n">
        <f aca="false">SUM(C10:F10)</f>
        <v>31</v>
      </c>
    </row>
    <row r="11" customFormat="false" ht="102" hidden="false" customHeight="true" outlineLevel="0" collapsed="false">
      <c r="B11" s="5" t="s">
        <v>95</v>
      </c>
      <c r="C11" s="34" t="n">
        <v>1</v>
      </c>
      <c r="D11" s="34" t="n">
        <v>14</v>
      </c>
      <c r="E11" s="34" t="n">
        <v>1</v>
      </c>
      <c r="F11" s="34" t="n">
        <v>1</v>
      </c>
      <c r="G11" s="35" t="n">
        <f aca="false">SUM(C11:F11)</f>
        <v>17</v>
      </c>
    </row>
    <row r="12" customFormat="false" ht="113.25" hidden="false" customHeight="true" outlineLevel="0" collapsed="false">
      <c r="B12" s="5" t="s">
        <v>96</v>
      </c>
      <c r="C12" s="34" t="n">
        <v>1</v>
      </c>
      <c r="D12" s="34" t="n">
        <v>18</v>
      </c>
      <c r="E12" s="34" t="n">
        <v>0</v>
      </c>
      <c r="F12" s="34" t="n">
        <v>4</v>
      </c>
      <c r="G12" s="35" t="n">
        <f aca="false">SUM(C12:F12)</f>
        <v>23</v>
      </c>
    </row>
    <row r="13" customFormat="false" ht="113.25" hidden="false" customHeight="true" outlineLevel="0" collapsed="false">
      <c r="B13" s="5" t="s">
        <v>97</v>
      </c>
      <c r="C13" s="34" t="n">
        <v>1</v>
      </c>
      <c r="D13" s="34" t="n">
        <v>6</v>
      </c>
      <c r="E13" s="34" t="n">
        <v>2</v>
      </c>
      <c r="F13" s="34" t="n">
        <v>0</v>
      </c>
      <c r="G13" s="35" t="n">
        <f aca="false">SUM(C13:F13)</f>
        <v>9</v>
      </c>
    </row>
    <row r="14" customFormat="false" ht="79.5" hidden="false" customHeight="true" outlineLevel="0" collapsed="false">
      <c r="B14" s="5" t="s">
        <v>98</v>
      </c>
      <c r="C14" s="34" t="n">
        <v>0</v>
      </c>
      <c r="D14" s="34" t="n">
        <v>0</v>
      </c>
      <c r="E14" s="34" t="n">
        <v>0</v>
      </c>
      <c r="F14" s="34" t="n">
        <v>0</v>
      </c>
      <c r="G14" s="35" t="n">
        <f aca="false">SUM(C14:F14)</f>
        <v>0</v>
      </c>
    </row>
    <row r="15" customFormat="false" ht="162" hidden="false" customHeight="true" outlineLevel="0" collapsed="false">
      <c r="B15" s="36" t="s">
        <v>99</v>
      </c>
      <c r="C15" s="27" t="n">
        <f aca="false">SUM(C7:C14)</f>
        <v>12</v>
      </c>
      <c r="D15" s="27" t="n">
        <f aca="false">SUM(D7:D14)</f>
        <v>202</v>
      </c>
      <c r="E15" s="27" t="n">
        <f aca="false">SUM(E7:E14)</f>
        <v>9</v>
      </c>
      <c r="F15" s="27" t="n">
        <f aca="false">SUM(F7:F14)</f>
        <v>8</v>
      </c>
      <c r="G15" s="27" t="n">
        <f aca="false">SUM(G7:G14)</f>
        <v>231</v>
      </c>
    </row>
    <row r="18" customFormat="false" ht="21.75" hidden="false" customHeight="true" outlineLevel="0" collapsed="false">
      <c r="B18" s="4" t="s">
        <v>100</v>
      </c>
      <c r="C18" s="4"/>
      <c r="D18" s="4"/>
      <c r="E18" s="4"/>
      <c r="F18" s="4"/>
      <c r="G18" s="4"/>
      <c r="H18" s="4"/>
    </row>
    <row r="19" customFormat="false" ht="135.75" hidden="false" customHeight="true" outlineLevel="0" collapsed="false">
      <c r="B19" s="5" t="s">
        <v>101</v>
      </c>
      <c r="C19" s="27" t="n">
        <f aca="false">C15+D15</f>
        <v>214</v>
      </c>
    </row>
    <row r="20" customFormat="false" ht="191.25" hidden="false" customHeight="true" outlineLevel="0" collapsed="false">
      <c r="B20" s="5" t="s">
        <v>102</v>
      </c>
      <c r="C20" s="27" t="n">
        <f aca="false">G15</f>
        <v>231</v>
      </c>
      <c r="D20" s="37" t="s">
        <v>103</v>
      </c>
      <c r="E20" s="37"/>
      <c r="F20" s="37"/>
      <c r="G20" s="37"/>
      <c r="H20" s="37"/>
    </row>
    <row r="23" customFormat="false" ht="21.75" hidden="false" customHeight="true" outlineLevel="0" collapsed="false">
      <c r="B23" s="4" t="s">
        <v>104</v>
      </c>
      <c r="C23" s="4"/>
      <c r="D23" s="4"/>
      <c r="E23" s="4"/>
      <c r="F23" s="4"/>
      <c r="G23" s="4"/>
      <c r="H23" s="4"/>
    </row>
    <row r="24" customFormat="false" ht="15" hidden="false" customHeight="true" outlineLevel="0" collapsed="false">
      <c r="B24" s="7" t="s">
        <v>105</v>
      </c>
      <c r="C24" s="7"/>
      <c r="D24" s="7"/>
      <c r="E24" s="7"/>
      <c r="F24" s="7"/>
      <c r="G24" s="7"/>
      <c r="H24" s="7"/>
    </row>
    <row r="25" customFormat="false" ht="15" hidden="false" customHeight="true" outlineLevel="0" collapsed="false">
      <c r="B25" s="7"/>
      <c r="C25" s="7"/>
      <c r="D25" s="7"/>
      <c r="E25" s="7"/>
      <c r="F25" s="7"/>
      <c r="G25" s="7"/>
      <c r="H25" s="7"/>
    </row>
    <row r="26" customFormat="false" ht="15" hidden="false" customHeight="true" outlineLevel="0" collapsed="false">
      <c r="B26" s="7"/>
      <c r="C26" s="7"/>
      <c r="D26" s="7"/>
      <c r="E26" s="7"/>
      <c r="F26" s="7"/>
      <c r="G26" s="7"/>
      <c r="H26" s="7"/>
    </row>
    <row r="27" customFormat="false" ht="21.75" hidden="false" customHeight="true" outlineLevel="0" collapsed="false">
      <c r="B27" s="4" t="s">
        <v>106</v>
      </c>
      <c r="C27" s="4"/>
      <c r="D27" s="4"/>
      <c r="E27" s="4"/>
      <c r="F27" s="4"/>
      <c r="G27" s="4"/>
      <c r="H27" s="4"/>
    </row>
    <row r="28" customFormat="false" ht="79.5" hidden="false" customHeight="true" outlineLevel="0" collapsed="false">
      <c r="B28" s="5" t="s">
        <v>107</v>
      </c>
      <c r="C28" s="27" t="n">
        <f aca="false">IF($C$4="TFSMS",TFSMS_MAR_OFF+TFSMS_NAV_OFF+TFSMS_OS_OFF+TFSMS_RES_OFF,C15)</f>
        <v>30</v>
      </c>
    </row>
    <row r="29" customFormat="false" ht="79.5" hidden="false" customHeight="true" outlineLevel="0" collapsed="false">
      <c r="B29" s="5" t="s">
        <v>108</v>
      </c>
      <c r="C29" s="27" t="n">
        <f aca="false">IF($C$4="TFSMS",TFSMS_MAR_ENL+TFSMS_NAV_ENL+TFSMS_OS_ENL+TFSMS_RES_ENL,D15)</f>
        <v>277</v>
      </c>
    </row>
    <row r="30" customFormat="false" ht="79.5" hidden="false" customHeight="true" outlineLevel="0" collapsed="false">
      <c r="B30" s="5" t="s">
        <v>109</v>
      </c>
      <c r="C30" s="27" t="n">
        <f aca="false">IF($C$4="TFSMS",TFSMS_CIV,E15)</f>
        <v>0</v>
      </c>
    </row>
    <row r="31" customFormat="false" ht="90.75" hidden="false" customHeight="true" outlineLevel="0" collapsed="false">
      <c r="B31" s="5" t="s">
        <v>110</v>
      </c>
      <c r="C31" s="27" t="n">
        <f aca="false">IF($C$4="TFSMS",TFSMS_CTR,F15)</f>
        <v>0</v>
      </c>
    </row>
    <row r="32" customFormat="false" ht="79.5" hidden="false" customHeight="true" outlineLevel="0" collapsed="false">
      <c r="B32" s="5" t="s">
        <v>111</v>
      </c>
      <c r="C32" s="27" t="n">
        <f aca="false">IF($C$4="TFSMS",TFSMS_TOTAL,G15)</f>
        <v>310</v>
      </c>
    </row>
    <row r="33" customFormat="false" ht="113.25" hidden="false" customHeight="true" outlineLevel="0" collapsed="false">
      <c r="B33" s="5" t="s">
        <v>112</v>
      </c>
      <c r="C33" s="27" t="n">
        <f aca="false">IF($C$4="TFSMS",TFSMS_MAR_OFF+TFSMS_MAR_ENL+TFSMS_NAV_OFF+TFSMS_NAV_ENL+TFSMS_OS_OFF+TFSMS_OS_ENL+TFSMS_RES_OFF+TFSMS_RES_ENL,C15+D15)</f>
        <v>307</v>
      </c>
    </row>
    <row r="36" customFormat="false" ht="21.75" hidden="false" customHeight="true" outlineLevel="0" collapsed="false">
      <c r="B36" s="4" t="s">
        <v>113</v>
      </c>
      <c r="C36" s="4"/>
      <c r="D36" s="4"/>
      <c r="E36" s="4"/>
      <c r="F36" s="4"/>
      <c r="G36" s="4"/>
      <c r="H36" s="4"/>
    </row>
    <row r="37" customFormat="false" ht="27.75" hidden="false" customHeight="true" outlineLevel="0" collapsed="false">
      <c r="B37" s="33" t="s">
        <v>46</v>
      </c>
      <c r="C37" s="33" t="s">
        <v>47</v>
      </c>
      <c r="D37" s="33" t="s">
        <v>114</v>
      </c>
      <c r="E37" s="33" t="s">
        <v>115</v>
      </c>
      <c r="F37" s="33" t="s">
        <v>116</v>
      </c>
      <c r="G37" s="33" t="s">
        <v>117</v>
      </c>
      <c r="H37" s="33" t="s">
        <v>118</v>
      </c>
      <c r="I37" s="33" t="s">
        <v>55</v>
      </c>
    </row>
    <row r="38" customFormat="false" ht="34.5" hidden="false" customHeight="true" outlineLevel="0" collapsed="false">
      <c r="B38" s="38" t="n">
        <f aca="false">TFSMS_Loading!B8</f>
        <v>0</v>
      </c>
      <c r="C38" s="39" t="n">
        <f aca="false">TFSMS_Loading!C8</f>
        <v>0</v>
      </c>
      <c r="D38" s="35" t="str">
        <f aca="false">TFSMS_Loading!D8</f>
        <v>Off</v>
      </c>
      <c r="E38" s="35" t="str">
        <f aca="false">TFSMS_Loading!E8</f>
        <v>Enl</v>
      </c>
      <c r="F38" s="35" t="str">
        <f aca="false">TFSMS_Loading!F8</f>
        <v>Off</v>
      </c>
      <c r="G38" s="35" t="str">
        <f aca="false">TFSMS_Loading!G8</f>
        <v>Enl</v>
      </c>
      <c r="H38" s="35" t="n">
        <f aca="false">TFSMS_Loading!L8</f>
        <v>0</v>
      </c>
    </row>
    <row r="39" customFormat="false" ht="34.5" hidden="false" customHeight="true" outlineLevel="0" collapsed="false">
      <c r="B39" s="38" t="str">
        <f aca="false">TFSMS_Loading!B9</f>
        <v>M29111</v>
      </c>
      <c r="C39" s="39" t="str">
        <f aca="false">TFSMS_Loading!C9</f>
        <v>HQ Co CLB-4 / CLR-3 / 3d MLG</v>
      </c>
      <c r="D39" s="35" t="n">
        <f aca="false">TFSMS_Loading!D9</f>
        <v>12</v>
      </c>
      <c r="E39" s="35" t="n">
        <f aca="false">TFSMS_Loading!E9</f>
        <v>60</v>
      </c>
      <c r="F39" s="35" t="n">
        <f aca="false">TFSMS_Loading!F9</f>
        <v>2</v>
      </c>
      <c r="G39" s="35" t="n">
        <f aca="false">TFSMS_Loading!G9</f>
        <v>11</v>
      </c>
      <c r="H39" s="35" t="n">
        <f aca="false">TFSMS_Loading!L9</f>
        <v>0</v>
      </c>
    </row>
    <row r="40" customFormat="false" ht="34.5" hidden="false" customHeight="true" outlineLevel="0" collapsed="false">
      <c r="B40" s="38" t="str">
        <f aca="false">TFSMS_Loading!B10</f>
        <v>M29112</v>
      </c>
      <c r="C40" s="39" t="str">
        <f aca="false">TFSMS_Loading!C10</f>
        <v>CLC A CLB-4 / CLR-3 / 3d MLG</v>
      </c>
      <c r="D40" s="35" t="n">
        <f aca="false">TFSMS_Loading!D10</f>
        <v>3</v>
      </c>
      <c r="E40" s="35" t="n">
        <f aca="false">TFSMS_Loading!E10</f>
        <v>55</v>
      </c>
      <c r="F40" s="35" t="n">
        <f aca="false">TFSMS_Loading!F10</f>
        <v>0</v>
      </c>
      <c r="G40" s="35" t="n">
        <f aca="false">TFSMS_Loading!G10</f>
        <v>0</v>
      </c>
      <c r="H40" s="35" t="n">
        <f aca="false">TFSMS_Loading!L10</f>
        <v>0</v>
      </c>
    </row>
    <row r="41" customFormat="false" ht="34.5" hidden="false" customHeight="true" outlineLevel="0" collapsed="false">
      <c r="B41" s="38" t="str">
        <f aca="false">TFSMS_Loading!B11</f>
        <v>M29113</v>
      </c>
      <c r="C41" s="39" t="str">
        <f aca="false">TFSMS_Loading!C11</f>
        <v>CLC B CLB-4 / CLR-3 / 3d MLG</v>
      </c>
      <c r="D41" s="35" t="n">
        <f aca="false">TFSMS_Loading!D11</f>
        <v>3</v>
      </c>
      <c r="E41" s="35" t="n">
        <f aca="false">TFSMS_Loading!E11</f>
        <v>55</v>
      </c>
      <c r="F41" s="35" t="n">
        <f aca="false">TFSMS_Loading!F11</f>
        <v>0</v>
      </c>
      <c r="G41" s="35" t="n">
        <f aca="false">TFSMS_Loading!G11</f>
        <v>0</v>
      </c>
      <c r="H41" s="35" t="n">
        <f aca="false">TFSMS_Loading!L11</f>
        <v>0</v>
      </c>
    </row>
  </sheetData>
  <mergeCells count="10">
    <mergeCell ref="B2:H2"/>
    <mergeCell ref="B3:H3"/>
    <mergeCell ref="D4:H4"/>
    <mergeCell ref="B5:H5"/>
    <mergeCell ref="B18:H18"/>
    <mergeCell ref="D20:H20"/>
    <mergeCell ref="B23:H23"/>
    <mergeCell ref="B24:H26"/>
    <mergeCell ref="B27:H27"/>
    <mergeCell ref="B36:H36"/>
  </mergeCells>
  <dataValidations count="1">
    <dataValidation allowBlank="false" errorStyle="stop" operator="between" showDropDown="false" showErrorMessage="false" showInputMessage="false" sqref="C4" type="list">
      <formula1>"Manual,TFSMS"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10"/>
    <col collapsed="false" customWidth="true" hidden="false" outlineLevel="0" max="4" min="4" style="1" width="36"/>
    <col collapsed="false" customWidth="true" hidden="false" outlineLevel="0" max="5" min="5" style="1" width="8"/>
    <col collapsed="false" customWidth="true" hidden="false" outlineLevel="0" max="9" min="6" style="1" width="12"/>
    <col collapsed="false" customWidth="true" hidden="false" outlineLevel="0" max="10" min="10" style="1" width="34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" t="s">
        <v>119</v>
      </c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120</v>
      </c>
      <c r="C3" s="3"/>
      <c r="D3" s="3"/>
      <c r="E3" s="3"/>
      <c r="F3" s="3"/>
      <c r="G3" s="3"/>
      <c r="H3" s="3"/>
      <c r="I3" s="3"/>
      <c r="J3" s="3"/>
    </row>
    <row r="5" customFormat="false" ht="21.75" hidden="false" customHeight="true" outlineLevel="0" collapsed="false">
      <c r="B5" s="4" t="s">
        <v>121</v>
      </c>
      <c r="C5" s="4"/>
      <c r="D5" s="4"/>
      <c r="E5" s="4"/>
      <c r="F5" s="4"/>
      <c r="G5" s="4"/>
      <c r="H5" s="4"/>
      <c r="I5" s="4"/>
      <c r="J5" s="4"/>
    </row>
    <row r="6" customFormat="false" ht="41.25" hidden="false" customHeight="true" outlineLevel="0" collapsed="false">
      <c r="B6" s="40" t="s">
        <v>122</v>
      </c>
      <c r="C6" s="40" t="s">
        <v>123</v>
      </c>
      <c r="D6" s="40" t="s">
        <v>124</v>
      </c>
      <c r="E6" s="40" t="s">
        <v>125</v>
      </c>
      <c r="F6" s="40" t="s">
        <v>126</v>
      </c>
      <c r="G6" s="40" t="s">
        <v>127</v>
      </c>
      <c r="H6" s="40" t="s">
        <v>128</v>
      </c>
      <c r="I6" s="40" t="s">
        <v>129</v>
      </c>
      <c r="J6" s="40" t="s">
        <v>130</v>
      </c>
    </row>
    <row r="7" customFormat="false" ht="21.75" hidden="false" customHeight="true" outlineLevel="0" collapsed="false">
      <c r="B7" s="41" t="s">
        <v>131</v>
      </c>
      <c r="C7" s="39" t="str">
        <f aca="false">IFERROR(VLOOKUP(B7,CCN_TABLE,2,FALSE()),"")</f>
        <v>Emergency Vehicle Garage</v>
      </c>
      <c r="D7" s="38" t="str">
        <f aca="false">IFERROR(VLOOKUP(B7,CCN_TABLE,3,FALSE()),"")</f>
        <v>SF</v>
      </c>
      <c r="E7" s="42" t="n">
        <v>0</v>
      </c>
      <c r="F7" s="42"/>
      <c r="G7" s="43" t="n">
        <v>1</v>
      </c>
      <c r="H7" s="35" t="n">
        <f aca="false">IFERROR(E7*F7*G7,0)</f>
        <v>0</v>
      </c>
      <c r="I7" s="34"/>
      <c r="J7" s="39" t="s">
        <v>132</v>
      </c>
    </row>
    <row r="8" customFormat="false" ht="21.75" hidden="false" customHeight="true" outlineLevel="0" collapsed="false">
      <c r="B8" s="41" t="s">
        <v>133</v>
      </c>
      <c r="C8" s="39" t="str">
        <f aca="false">IFERROR(VLOOKUP(B8,CCN_TABLE,2,FALSE()),"")</f>
        <v>Operational Vehicle Garage</v>
      </c>
      <c r="D8" s="38" t="str">
        <f aca="false">IFERROR(VLOOKUP(B8,CCN_TABLE,3,FALSE()),"")</f>
        <v>SF</v>
      </c>
      <c r="E8" s="42" t="n">
        <v>1</v>
      </c>
      <c r="F8" s="42" t="n">
        <f aca="false">BFR_Calculator!G33</f>
        <v>0</v>
      </c>
      <c r="G8" s="43" t="n">
        <v>1.2</v>
      </c>
      <c r="H8" s="35" t="n">
        <f aca="false">IFERROR(E8*F8*G8,0)</f>
        <v>0</v>
      </c>
      <c r="I8" s="34"/>
      <c r="J8" s="39" t="s">
        <v>134</v>
      </c>
    </row>
    <row r="9" customFormat="false" ht="21.75" hidden="false" customHeight="true" outlineLevel="0" collapsed="false">
      <c r="B9" s="41" t="s">
        <v>135</v>
      </c>
      <c r="C9" s="39" t="str">
        <f aca="false">IFERROR(VLOOKUP(B9,CCN_TABLE,2,FALSE()),"")</f>
        <v>Operational Vehicle Laydown Area</v>
      </c>
      <c r="D9" s="38" t="str">
        <f aca="false">IFERROR(VLOOKUP(B9,CCN_TABLE,3,FALSE()),"")</f>
        <v>SY</v>
      </c>
      <c r="E9" s="42" t="n">
        <v>1</v>
      </c>
      <c r="F9" s="42" t="n">
        <f aca="false">BFR_Calculator!H33</f>
        <v>0</v>
      </c>
      <c r="G9" s="43" t="n">
        <v>1</v>
      </c>
      <c r="H9" s="35" t="n">
        <f aca="false">IFERROR(E9*F9*G9,0)</f>
        <v>0</v>
      </c>
      <c r="I9" s="34"/>
      <c r="J9" s="39" t="s">
        <v>136</v>
      </c>
    </row>
    <row r="10" customFormat="false" ht="21.75" hidden="false" customHeight="true" outlineLevel="0" collapsed="false">
      <c r="B10" s="41" t="s">
        <v>137</v>
      </c>
      <c r="C10" s="39" t="str">
        <f aca="false">IFERROR(VLOOKUP(B10,CCN_TABLE,2,FALSE()),"")</f>
        <v>Marine Corps EOD Facility</v>
      </c>
      <c r="D10" s="38" t="str">
        <f aca="false">IFERROR(VLOOKUP(B10,CCN_TABLE,3,FALSE()),"")</f>
        <v>SF</v>
      </c>
      <c r="E10" s="42" t="n">
        <v>1</v>
      </c>
      <c r="F10" s="42" t="n">
        <v>7204</v>
      </c>
      <c r="G10" s="43" t="n">
        <v>1</v>
      </c>
      <c r="H10" s="35" t="n">
        <f aca="false">IFERROR(E10*F10*G10,0)</f>
        <v>7204</v>
      </c>
      <c r="I10" s="34"/>
      <c r="J10" s="39" t="s">
        <v>138</v>
      </c>
    </row>
    <row r="11" customFormat="false" ht="21.75" hidden="false" customHeight="true" outlineLevel="0" collapsed="false">
      <c r="B11" s="41" t="s">
        <v>139</v>
      </c>
      <c r="C11" s="39" t="str">
        <f aca="false">IFERROR(VLOOKUP(B11,CCN_TABLE,2,FALSE()),"")</f>
        <v>Armory</v>
      </c>
      <c r="D11" s="38" t="str">
        <f aca="false">IFERROR(VLOOKUP(B11,CCN_TABLE,3,FALSE()),"")</f>
        <v>SF</v>
      </c>
      <c r="E11" s="42" t="n">
        <f aca="false">PN_MIL</f>
        <v>307</v>
      </c>
      <c r="F11" s="42"/>
      <c r="G11" s="43" t="n">
        <v>1</v>
      </c>
      <c r="H11" s="35" t="n">
        <f aca="false">IFERROR(E11*F11*G11,0)</f>
        <v>0</v>
      </c>
      <c r="I11" s="34"/>
      <c r="J11" s="39" t="s">
        <v>140</v>
      </c>
    </row>
    <row r="12" customFormat="false" ht="21.75" hidden="false" customHeight="true" outlineLevel="0" collapsed="false">
      <c r="B12" s="41" t="s">
        <v>141</v>
      </c>
      <c r="C12" s="39" t="str">
        <f aca="false">IFERROR(VLOOKUP(B12,CCN_TABLE,2,FALSE()),"")</f>
        <v>Marine Barracks - General Purpose</v>
      </c>
      <c r="D12" s="38" t="str">
        <f aca="false">IFERROR(VLOOKUP(B12,CCN_TABLE,3,FALSE()),"")</f>
        <v>SF</v>
      </c>
      <c r="E12" s="42" t="n">
        <v>0</v>
      </c>
      <c r="F12" s="42"/>
      <c r="G12" s="43" t="n">
        <v>1</v>
      </c>
      <c r="H12" s="35" t="n">
        <f aca="false">IFERROR(E12*F12*G12,0)</f>
        <v>0</v>
      </c>
      <c r="I12" s="34"/>
      <c r="J12" s="39" t="s">
        <v>142</v>
      </c>
    </row>
    <row r="13" customFormat="false" ht="21.75" hidden="false" customHeight="true" outlineLevel="0" collapsed="false">
      <c r="B13" s="41" t="s">
        <v>143</v>
      </c>
      <c r="C13" s="39" t="str">
        <f aca="false">IFERROR(VLOOKUP(B13,CCN_TABLE,2,FALSE()),"")</f>
        <v>Academic Instruction Building</v>
      </c>
      <c r="D13" s="38" t="str">
        <f aca="false">IFERROR(VLOOKUP(B13,CCN_TABLE,3,FALSE()),"")</f>
        <v>SF</v>
      </c>
      <c r="E13" s="42" t="n">
        <v>0</v>
      </c>
      <c r="F13" s="42" t="n">
        <v>45</v>
      </c>
      <c r="G13" s="43" t="n">
        <v>1.33</v>
      </c>
      <c r="H13" s="35" t="n">
        <f aca="false">IFERROR(E13*F13*G13,0)</f>
        <v>0</v>
      </c>
      <c r="I13" s="34"/>
      <c r="J13" s="39" t="s">
        <v>144</v>
      </c>
    </row>
    <row r="14" customFormat="false" ht="21.75" hidden="false" customHeight="true" outlineLevel="0" collapsed="false">
      <c r="B14" s="41" t="s">
        <v>145</v>
      </c>
      <c r="C14" s="39" t="str">
        <f aca="false">IFERROR(VLOOKUP(B14,CCN_TABLE,2,FALSE()),"")</f>
        <v>Applied Instruction Building</v>
      </c>
      <c r="D14" s="38" t="str">
        <f aca="false">IFERROR(VLOOKUP(B14,CCN_TABLE,3,FALSE()),"")</f>
        <v>SF</v>
      </c>
      <c r="E14" s="42" t="n">
        <v>0</v>
      </c>
      <c r="F14" s="42" t="n">
        <v>150</v>
      </c>
      <c r="G14" s="43" t="n">
        <v>1.25</v>
      </c>
      <c r="H14" s="35" t="n">
        <f aca="false">IFERROR(E14*F14*G14,0)</f>
        <v>0</v>
      </c>
      <c r="I14" s="34"/>
      <c r="J14" s="39" t="s">
        <v>146</v>
      </c>
    </row>
    <row r="15" customFormat="false" ht="21.75" hidden="false" customHeight="true" outlineLevel="0" collapsed="false">
      <c r="B15" s="41" t="s">
        <v>147</v>
      </c>
      <c r="C15" s="39" t="str">
        <f aca="false">IFERROR(VLOOKUP(B15,CCN_TABLE,2,FALSE()),"")</f>
        <v>Small Arms Range — Indoor</v>
      </c>
      <c r="D15" s="38" t="str">
        <f aca="false">IFERROR(VLOOKUP(B15,CCN_TABLE,3,FALSE()),"")</f>
        <v>SF</v>
      </c>
      <c r="E15" s="42" t="n">
        <v>0</v>
      </c>
      <c r="F15" s="42"/>
      <c r="G15" s="43" t="n">
        <v>1</v>
      </c>
      <c r="H15" s="35" t="n">
        <f aca="false">IFERROR(E15*F15*G15,0)</f>
        <v>0</v>
      </c>
      <c r="I15" s="34"/>
      <c r="J15" s="39" t="s">
        <v>148</v>
      </c>
    </row>
    <row r="16" customFormat="false" ht="21.75" hidden="false" customHeight="true" outlineLevel="0" collapsed="false">
      <c r="B16" s="41" t="s">
        <v>149</v>
      </c>
      <c r="C16" s="39" t="str">
        <f aca="false">IFERROR(VLOOKUP(B16,CCN_TABLE,2,FALSE()),"")</f>
        <v>Range Operations Building</v>
      </c>
      <c r="D16" s="38" t="str">
        <f aca="false">IFERROR(VLOOKUP(B16,CCN_TABLE,3,FALSE()),"")</f>
        <v>SF</v>
      </c>
      <c r="E16" s="42" t="n">
        <v>0</v>
      </c>
      <c r="F16" s="42"/>
      <c r="G16" s="43" t="n">
        <v>1</v>
      </c>
      <c r="H16" s="35" t="n">
        <f aca="false">IFERROR(E16*F16*G16,0)</f>
        <v>0</v>
      </c>
      <c r="I16" s="34"/>
      <c r="J16" s="39" t="s">
        <v>150</v>
      </c>
    </row>
    <row r="17" customFormat="false" ht="21.75" hidden="false" customHeight="true" outlineLevel="0" collapsed="false">
      <c r="B17" s="41" t="s">
        <v>151</v>
      </c>
      <c r="C17" s="39" t="str">
        <f aca="false">IFERROR(VLOOKUP(B17,CCN_TABLE,2,FALSE()),"")</f>
        <v>Range Support Building</v>
      </c>
      <c r="D17" s="38" t="str">
        <f aca="false">IFERROR(VLOOKUP(B17,CCN_TABLE,3,FALSE()),"")</f>
        <v>SF</v>
      </c>
      <c r="E17" s="42" t="n">
        <v>0</v>
      </c>
      <c r="F17" s="42"/>
      <c r="G17" s="43" t="n">
        <v>1</v>
      </c>
      <c r="H17" s="35" t="n">
        <f aca="false">IFERROR(E17*F17*G17,0)</f>
        <v>0</v>
      </c>
      <c r="I17" s="34"/>
      <c r="J17" s="39" t="s">
        <v>152</v>
      </c>
    </row>
    <row r="18" customFormat="false" ht="21.75" hidden="false" customHeight="true" outlineLevel="0" collapsed="false">
      <c r="B18" s="41" t="s">
        <v>153</v>
      </c>
      <c r="C18" s="39" t="str">
        <f aca="false">IFERROR(VLOOKUP(B18,CCN_TABLE,2,FALSE()),"")</f>
        <v>Parade and Drill Field</v>
      </c>
      <c r="D18" s="38" t="str">
        <f aca="false">IFERROR(VLOOKUP(B18,CCN_TABLE,3,FALSE()),"")</f>
        <v>AC</v>
      </c>
      <c r="E18" s="42" t="n">
        <f aca="false">PN_TOTAL</f>
        <v>310</v>
      </c>
      <c r="F18" s="42" t="n">
        <f aca="false">1/125</f>
        <v>0.008</v>
      </c>
      <c r="G18" s="43" t="n">
        <v>1</v>
      </c>
      <c r="H18" s="35" t="n">
        <f aca="false">IFERROR(E18*F18*G18,0)</f>
        <v>2.48</v>
      </c>
      <c r="I18" s="34"/>
      <c r="J18" s="39" t="s">
        <v>154</v>
      </c>
    </row>
    <row r="19" customFormat="false" ht="21.75" hidden="false" customHeight="true" outlineLevel="0" collapsed="false">
      <c r="B19" s="41" t="s">
        <v>155</v>
      </c>
      <c r="C19" s="39" t="str">
        <f aca="false">IFERROR(VLOOKUP(B19,CCN_TABLE,2,FALSE()),"")</f>
        <v>Confidence Course</v>
      </c>
      <c r="D19" s="38" t="str">
        <f aca="false">IFERROR(VLOOKUP(B19,CCN_TABLE,3,FALSE()),"")</f>
        <v>AC</v>
      </c>
      <c r="E19" s="42" t="n">
        <v>0</v>
      </c>
      <c r="F19" s="42" t="n">
        <v>1</v>
      </c>
      <c r="G19" s="43" t="n">
        <v>1</v>
      </c>
      <c r="H19" s="35" t="n">
        <f aca="false">IFERROR(E19*F19*G19,0)</f>
        <v>0</v>
      </c>
      <c r="I19" s="34"/>
      <c r="J19" s="39" t="s">
        <v>156</v>
      </c>
    </row>
    <row r="20" customFormat="false" ht="21.75" hidden="false" customHeight="true" outlineLevel="0" collapsed="false">
      <c r="B20" s="41" t="s">
        <v>157</v>
      </c>
      <c r="C20" s="39" t="str">
        <f aca="false">IFERROR(VLOOKUP(B20,CCN_TABLE,2,FALSE()),"")</f>
        <v>Obstacle Course</v>
      </c>
      <c r="D20" s="38" t="str">
        <f aca="false">IFERROR(VLOOKUP(B20,CCN_TABLE,3,FALSE()),"")</f>
        <v>AC</v>
      </c>
      <c r="E20" s="42" t="n">
        <v>0</v>
      </c>
      <c r="F20" s="42"/>
      <c r="G20" s="43" t="n">
        <v>1</v>
      </c>
      <c r="H20" s="35" t="n">
        <f aca="false">IFERROR(E20*F20*G20,0)</f>
        <v>0</v>
      </c>
      <c r="I20" s="34"/>
      <c r="J20" s="39" t="s">
        <v>158</v>
      </c>
    </row>
    <row r="24" customFormat="false" ht="21.75" hidden="false" customHeight="true" outlineLevel="0" collapsed="false">
      <c r="B24" s="4" t="s">
        <v>159</v>
      </c>
      <c r="C24" s="4"/>
      <c r="D24" s="4"/>
      <c r="E24" s="4"/>
      <c r="F24" s="4"/>
      <c r="G24" s="4"/>
      <c r="H24" s="4"/>
      <c r="I24" s="4"/>
      <c r="J24" s="4"/>
    </row>
    <row r="25" customFormat="false" ht="27.75" hidden="false" customHeight="true" outlineLevel="0" collapsed="false">
      <c r="B25" s="33" t="s">
        <v>160</v>
      </c>
      <c r="C25" s="33" t="s">
        <v>161</v>
      </c>
      <c r="D25" s="33" t="s">
        <v>162</v>
      </c>
      <c r="E25" s="33" t="s">
        <v>163</v>
      </c>
      <c r="F25" s="33" t="s">
        <v>164</v>
      </c>
      <c r="G25" s="33" t="s">
        <v>165</v>
      </c>
      <c r="H25" s="33" t="s">
        <v>166</v>
      </c>
    </row>
    <row r="26" customFormat="false" ht="15" hidden="false" customHeight="true" outlineLevel="0" collapsed="false">
      <c r="B26" s="44" t="s">
        <v>167</v>
      </c>
      <c r="C26" s="45" t="s">
        <v>168</v>
      </c>
      <c r="D26" s="34" t="n">
        <v>0</v>
      </c>
      <c r="E26" s="46" t="n">
        <v>108</v>
      </c>
      <c r="F26" s="46" t="n">
        <v>19</v>
      </c>
      <c r="G26" s="35" t="n">
        <f aca="false">D26*E26</f>
        <v>0</v>
      </c>
      <c r="H26" s="35" t="n">
        <f aca="false">D26*F26</f>
        <v>0</v>
      </c>
    </row>
    <row r="27" customFormat="false" ht="15" hidden="false" customHeight="true" outlineLevel="0" collapsed="false">
      <c r="B27" s="44" t="s">
        <v>169</v>
      </c>
      <c r="C27" s="45" t="s">
        <v>170</v>
      </c>
      <c r="D27" s="34" t="n">
        <v>0</v>
      </c>
      <c r="E27" s="46" t="n">
        <v>180</v>
      </c>
      <c r="F27" s="46" t="n">
        <v>29</v>
      </c>
      <c r="G27" s="35" t="n">
        <f aca="false">D27*E27</f>
        <v>0</v>
      </c>
      <c r="H27" s="35" t="n">
        <f aca="false">D27*F27</f>
        <v>0</v>
      </c>
    </row>
    <row r="28" customFormat="false" ht="15" hidden="false" customHeight="true" outlineLevel="0" collapsed="false">
      <c r="B28" s="44" t="s">
        <v>171</v>
      </c>
      <c r="C28" s="45" t="s">
        <v>172</v>
      </c>
      <c r="D28" s="34" t="n">
        <v>0</v>
      </c>
      <c r="E28" s="46" t="n">
        <v>288</v>
      </c>
      <c r="F28" s="46" t="n">
        <v>42</v>
      </c>
      <c r="G28" s="35" t="n">
        <f aca="false">D28*E28</f>
        <v>0</v>
      </c>
      <c r="H28" s="35" t="n">
        <f aca="false">D28*F28</f>
        <v>0</v>
      </c>
    </row>
    <row r="29" customFormat="false" ht="15" hidden="false" customHeight="true" outlineLevel="0" collapsed="false">
      <c r="B29" s="44" t="s">
        <v>173</v>
      </c>
      <c r="C29" s="45" t="s">
        <v>174</v>
      </c>
      <c r="D29" s="34" t="n">
        <v>0</v>
      </c>
      <c r="E29" s="46" t="n">
        <v>420</v>
      </c>
      <c r="F29" s="46" t="n">
        <v>57</v>
      </c>
      <c r="G29" s="35" t="n">
        <f aca="false">D29*E29</f>
        <v>0</v>
      </c>
      <c r="H29" s="35" t="n">
        <f aca="false">D29*F29</f>
        <v>0</v>
      </c>
    </row>
    <row r="30" customFormat="false" ht="15" hidden="false" customHeight="true" outlineLevel="0" collapsed="false">
      <c r="B30" s="44" t="s">
        <v>175</v>
      </c>
      <c r="C30" s="45" t="s">
        <v>176</v>
      </c>
      <c r="D30" s="34" t="n">
        <v>0</v>
      </c>
      <c r="E30" s="46" t="n">
        <v>588</v>
      </c>
      <c r="F30" s="46" t="n">
        <v>71</v>
      </c>
      <c r="G30" s="35" t="n">
        <f aca="false">D30*E30</f>
        <v>0</v>
      </c>
      <c r="H30" s="35" t="n">
        <f aca="false">D30*F30</f>
        <v>0</v>
      </c>
    </row>
    <row r="31" customFormat="false" ht="15" hidden="false" customHeight="true" outlineLevel="0" collapsed="false">
      <c r="B31" s="44" t="s">
        <v>177</v>
      </c>
      <c r="C31" s="45" t="s">
        <v>178</v>
      </c>
      <c r="D31" s="34" t="n">
        <v>0</v>
      </c>
      <c r="E31" s="46" t="n">
        <v>720</v>
      </c>
      <c r="F31" s="46" t="n">
        <v>85</v>
      </c>
      <c r="G31" s="35" t="n">
        <f aca="false">D31*E31</f>
        <v>0</v>
      </c>
      <c r="H31" s="35" t="n">
        <f aca="false">D31*F31</f>
        <v>0</v>
      </c>
    </row>
    <row r="32" customFormat="false" ht="15" hidden="false" customHeight="true" outlineLevel="0" collapsed="false">
      <c r="B32" s="44" t="s">
        <v>179</v>
      </c>
      <c r="C32" s="45" t="s">
        <v>180</v>
      </c>
      <c r="D32" s="34" t="n">
        <v>0</v>
      </c>
      <c r="E32" s="46" t="n">
        <v>888</v>
      </c>
      <c r="F32" s="46" t="n">
        <v>99</v>
      </c>
      <c r="G32" s="35" t="n">
        <f aca="false">D32*E32</f>
        <v>0</v>
      </c>
      <c r="H32" s="35" t="n">
        <f aca="false">D32*F32</f>
        <v>0</v>
      </c>
    </row>
    <row r="33" customFormat="false" ht="15" hidden="false" customHeight="true" outlineLevel="0" collapsed="false">
      <c r="B33" s="40" t="s">
        <v>181</v>
      </c>
      <c r="C33" s="40"/>
      <c r="D33" s="40"/>
      <c r="E33" s="47" t="s">
        <v>182</v>
      </c>
      <c r="F33" s="47"/>
      <c r="G33" s="27" t="n">
        <f aca="false">IF(SUM(G26:G32)=0,0,SUM(G26:G32)+250)</f>
        <v>0</v>
      </c>
      <c r="H33" s="27" t="n">
        <f aca="false">SUM(H26:H32)</f>
        <v>0</v>
      </c>
    </row>
  </sheetData>
  <mergeCells count="6">
    <mergeCell ref="B2:J2"/>
    <mergeCell ref="B3:J3"/>
    <mergeCell ref="B5:J5"/>
    <mergeCell ref="B24:J24"/>
    <mergeCell ref="B33:D33"/>
    <mergeCell ref="E33:F33"/>
  </mergeCells>
  <conditionalFormatting sqref="F7:F20">
    <cfRule type="cellIs" priority="2" operator="equal" aboveAverage="0" equalAverage="0" bottom="0" percent="0" rank="0" text="" dxfId="1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10"/>
    <col collapsed="false" customWidth="true" hidden="false" outlineLevel="0" max="4" min="4" style="1" width="36"/>
    <col collapsed="false" customWidth="true" hidden="false" outlineLevel="0" max="5" min="5" style="1" width="8"/>
    <col collapsed="false" customWidth="true" hidden="false" outlineLevel="0" max="9" min="6" style="1" width="14"/>
    <col collapsed="false" customWidth="true" hidden="false" outlineLevel="0" max="10" min="10" style="1" width="40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" t="s">
        <v>183</v>
      </c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184</v>
      </c>
      <c r="C3" s="3"/>
      <c r="D3" s="3"/>
      <c r="E3" s="3"/>
      <c r="F3" s="3"/>
      <c r="G3" s="3"/>
      <c r="H3" s="3"/>
      <c r="I3" s="3"/>
      <c r="J3" s="3"/>
    </row>
    <row r="5" customFormat="false" ht="21.75" hidden="false" customHeight="true" outlineLevel="0" collapsed="false">
      <c r="B5" s="4" t="s">
        <v>185</v>
      </c>
      <c r="C5" s="4"/>
      <c r="D5" s="4"/>
      <c r="E5" s="4"/>
      <c r="F5" s="4"/>
      <c r="G5" s="4"/>
      <c r="H5" s="4"/>
      <c r="I5" s="4"/>
      <c r="J5" s="4"/>
    </row>
    <row r="6" customFormat="false" ht="27.75" hidden="false" customHeight="true" outlineLevel="0" collapsed="false">
      <c r="B6" s="40" t="s">
        <v>122</v>
      </c>
      <c r="C6" s="40" t="s">
        <v>123</v>
      </c>
      <c r="D6" s="40" t="s">
        <v>124</v>
      </c>
      <c r="E6" s="40" t="s">
        <v>128</v>
      </c>
      <c r="F6" s="40" t="s">
        <v>186</v>
      </c>
      <c r="G6" s="40" t="s">
        <v>187</v>
      </c>
      <c r="H6" s="40" t="s">
        <v>188</v>
      </c>
      <c r="I6" s="40" t="s">
        <v>189</v>
      </c>
      <c r="J6" s="40" t="s">
        <v>190</v>
      </c>
    </row>
    <row r="7" customFormat="false" ht="21.75" hidden="false" customHeight="true" outlineLevel="0" collapsed="false">
      <c r="B7" s="41" t="s">
        <v>131</v>
      </c>
      <c r="C7" s="39" t="str">
        <f aca="false">IFERROR(VLOOKUP(B7,CCN_TABLE,2,FALSE()),"")</f>
        <v>Emergency Vehicle Garage</v>
      </c>
      <c r="D7" s="38" t="str">
        <f aca="false">IFERROR(VLOOKUP(B7,CCN_TABLE,3,FALSE()),"")</f>
        <v>SF</v>
      </c>
      <c r="E7" s="35" t="n">
        <f aca="false">IF(BFR_Calculator!I7="",BFR_Calculator!H7,BFR_Calculator!I7)</f>
        <v>0</v>
      </c>
      <c r="F7" s="35" t="n">
        <f aca="false">G7+H7</f>
        <v>0</v>
      </c>
      <c r="G7" s="34" t="n">
        <v>0</v>
      </c>
      <c r="H7" s="34" t="n">
        <v>0</v>
      </c>
      <c r="I7" s="48" t="n">
        <f aca="false">G7-E7</f>
        <v>0</v>
      </c>
      <c r="J7" s="39" t="str">
        <f aca="false">IF(I7&lt;0,"NEW or RENOVATE — deficit of "&amp;TEXT(ABS(I7),"#,##0")&amp;" "&amp;D7,IF(H7&gt;0,"REHAB — inadequate assets exist","NO ACTION — adequate"))</f>
        <v>NO ACTION — adequate</v>
      </c>
    </row>
    <row r="8" customFormat="false" ht="21.75" hidden="false" customHeight="true" outlineLevel="0" collapsed="false">
      <c r="B8" s="41" t="s">
        <v>133</v>
      </c>
      <c r="C8" s="39" t="str">
        <f aca="false">IFERROR(VLOOKUP(B8,CCN_TABLE,2,FALSE()),"")</f>
        <v>Operational Vehicle Garage</v>
      </c>
      <c r="D8" s="38" t="str">
        <f aca="false">IFERROR(VLOOKUP(B8,CCN_TABLE,3,FALSE()),"")</f>
        <v>SF</v>
      </c>
      <c r="E8" s="35" t="n">
        <f aca="false">IF(BFR_Calculator!I8="",BFR_Calculator!H8,BFR_Calculator!I8)</f>
        <v>0</v>
      </c>
      <c r="F8" s="35" t="n">
        <f aca="false">G8+H8</f>
        <v>0</v>
      </c>
      <c r="G8" s="34" t="n">
        <v>0</v>
      </c>
      <c r="H8" s="34" t="n">
        <v>0</v>
      </c>
      <c r="I8" s="48" t="n">
        <f aca="false">G8-E8</f>
        <v>0</v>
      </c>
      <c r="J8" s="39" t="str">
        <f aca="false">IF(I8&lt;0,"NEW or RENOVATE — deficit of "&amp;TEXT(ABS(I8),"#,##0")&amp;" "&amp;D8,IF(H8&gt;0,"REHAB — inadequate assets exist","NO ACTION — adequate"))</f>
        <v>NO ACTION — adequate</v>
      </c>
    </row>
    <row r="9" customFormat="false" ht="21.75" hidden="false" customHeight="true" outlineLevel="0" collapsed="false">
      <c r="B9" s="41" t="s">
        <v>135</v>
      </c>
      <c r="C9" s="39" t="str">
        <f aca="false">IFERROR(VLOOKUP(B9,CCN_TABLE,2,FALSE()),"")</f>
        <v>Operational Vehicle Laydown Area</v>
      </c>
      <c r="D9" s="38" t="str">
        <f aca="false">IFERROR(VLOOKUP(B9,CCN_TABLE,3,FALSE()),"")</f>
        <v>SY</v>
      </c>
      <c r="E9" s="35" t="n">
        <f aca="false">IF(BFR_Calculator!I9="",BFR_Calculator!H9,BFR_Calculator!I9)</f>
        <v>0</v>
      </c>
      <c r="F9" s="35" t="n">
        <f aca="false">G9+H9</f>
        <v>0</v>
      </c>
      <c r="G9" s="34" t="n">
        <v>0</v>
      </c>
      <c r="H9" s="34" t="n">
        <v>0</v>
      </c>
      <c r="I9" s="48" t="n">
        <f aca="false">G9-E9</f>
        <v>0</v>
      </c>
      <c r="J9" s="39" t="str">
        <f aca="false">IF(I9&lt;0,"NEW or RENOVATE — deficit of "&amp;TEXT(ABS(I9),"#,##0")&amp;" "&amp;D9,IF(H9&gt;0,"REHAB — inadequate assets exist","NO ACTION — adequate"))</f>
        <v>NO ACTION — adequate</v>
      </c>
    </row>
    <row r="10" customFormat="false" ht="21.75" hidden="false" customHeight="true" outlineLevel="0" collapsed="false">
      <c r="B10" s="41" t="s">
        <v>137</v>
      </c>
      <c r="C10" s="39" t="str">
        <f aca="false">IFERROR(VLOOKUP(B10,CCN_TABLE,2,FALSE()),"")</f>
        <v>Marine Corps EOD Facility</v>
      </c>
      <c r="D10" s="38" t="str">
        <f aca="false">IFERROR(VLOOKUP(B10,CCN_TABLE,3,FALSE()),"")</f>
        <v>SF</v>
      </c>
      <c r="E10" s="35" t="n">
        <f aca="false">IF(BFR_Calculator!I10="",BFR_Calculator!H10,BFR_Calculator!I10)</f>
        <v>7204</v>
      </c>
      <c r="F10" s="35" t="n">
        <f aca="false">G10+H10</f>
        <v>0</v>
      </c>
      <c r="G10" s="34" t="n">
        <v>0</v>
      </c>
      <c r="H10" s="34" t="n">
        <v>0</v>
      </c>
      <c r="I10" s="48" t="n">
        <f aca="false">G10-E10</f>
        <v>-7204</v>
      </c>
      <c r="J10" s="39" t="str">
        <f aca="false">IF(I10&lt;0,"NEW or RENOVATE — deficit of "&amp;TEXT(ABS(I10),"#,##0")&amp;" "&amp;D10,IF(H10&gt;0,"REHAB — inadequate assets exist","NO ACTION — adequate"))</f>
        <v>NEW or RENOVATE — deficit of 7,204 SF</v>
      </c>
    </row>
    <row r="11" customFormat="false" ht="21.75" hidden="false" customHeight="true" outlineLevel="0" collapsed="false">
      <c r="B11" s="41" t="s">
        <v>139</v>
      </c>
      <c r="C11" s="39" t="str">
        <f aca="false">IFERROR(VLOOKUP(B11,CCN_TABLE,2,FALSE()),"")</f>
        <v>Armory</v>
      </c>
      <c r="D11" s="38" t="str">
        <f aca="false">IFERROR(VLOOKUP(B11,CCN_TABLE,3,FALSE()),"")</f>
        <v>SF</v>
      </c>
      <c r="E11" s="35" t="n">
        <f aca="false">IF(BFR_Calculator!I11="",BFR_Calculator!H11,BFR_Calculator!I11)</f>
        <v>0</v>
      </c>
      <c r="F11" s="35" t="n">
        <f aca="false">G11+H11</f>
        <v>0</v>
      </c>
      <c r="G11" s="34" t="n">
        <v>0</v>
      </c>
      <c r="H11" s="34" t="n">
        <v>0</v>
      </c>
      <c r="I11" s="48" t="n">
        <f aca="false">G11-E11</f>
        <v>0</v>
      </c>
      <c r="J11" s="39" t="str">
        <f aca="false">IF(I11&lt;0,"NEW or RENOVATE — deficit of "&amp;TEXT(ABS(I11),"#,##0")&amp;" "&amp;D11,IF(H11&gt;0,"REHAB — inadequate assets exist","NO ACTION — adequate"))</f>
        <v>NO ACTION — adequate</v>
      </c>
    </row>
    <row r="12" customFormat="false" ht="21.75" hidden="false" customHeight="true" outlineLevel="0" collapsed="false">
      <c r="B12" s="41" t="s">
        <v>141</v>
      </c>
      <c r="C12" s="39" t="str">
        <f aca="false">IFERROR(VLOOKUP(B12,CCN_TABLE,2,FALSE()),"")</f>
        <v>Marine Barracks - General Purpose</v>
      </c>
      <c r="D12" s="38" t="str">
        <f aca="false">IFERROR(VLOOKUP(B12,CCN_TABLE,3,FALSE()),"")</f>
        <v>SF</v>
      </c>
      <c r="E12" s="35" t="n">
        <f aca="false">IF(BFR_Calculator!I12="",BFR_Calculator!H12,BFR_Calculator!I12)</f>
        <v>0</v>
      </c>
      <c r="F12" s="35" t="n">
        <f aca="false">G12+H12</f>
        <v>0</v>
      </c>
      <c r="G12" s="34" t="n">
        <v>0</v>
      </c>
      <c r="H12" s="34" t="n">
        <v>0</v>
      </c>
      <c r="I12" s="48" t="n">
        <f aca="false">G12-E12</f>
        <v>0</v>
      </c>
      <c r="J12" s="39" t="str">
        <f aca="false">IF(I12&lt;0,"NEW or RENOVATE — deficit of "&amp;TEXT(ABS(I12),"#,##0")&amp;" "&amp;D12,IF(H12&gt;0,"REHAB — inadequate assets exist","NO ACTION — adequate"))</f>
        <v>NO ACTION — adequate</v>
      </c>
    </row>
    <row r="13" customFormat="false" ht="21.75" hidden="false" customHeight="true" outlineLevel="0" collapsed="false">
      <c r="B13" s="41" t="s">
        <v>143</v>
      </c>
      <c r="C13" s="39" t="str">
        <f aca="false">IFERROR(VLOOKUP(B13,CCN_TABLE,2,FALSE()),"")</f>
        <v>Academic Instruction Building</v>
      </c>
      <c r="D13" s="38" t="str">
        <f aca="false">IFERROR(VLOOKUP(B13,CCN_TABLE,3,FALSE()),"")</f>
        <v>SF</v>
      </c>
      <c r="E13" s="35" t="n">
        <f aca="false">IF(BFR_Calculator!I13="",BFR_Calculator!H13,BFR_Calculator!I13)</f>
        <v>0</v>
      </c>
      <c r="F13" s="35" t="n">
        <f aca="false">G13+H13</f>
        <v>0</v>
      </c>
      <c r="G13" s="34" t="n">
        <v>0</v>
      </c>
      <c r="H13" s="34" t="n">
        <v>0</v>
      </c>
      <c r="I13" s="48" t="n">
        <f aca="false">G13-E13</f>
        <v>0</v>
      </c>
      <c r="J13" s="39" t="str">
        <f aca="false">IF(I13&lt;0,"NEW or RENOVATE — deficit of "&amp;TEXT(ABS(I13),"#,##0")&amp;" "&amp;D13,IF(H13&gt;0,"REHAB — inadequate assets exist","NO ACTION — adequate"))</f>
        <v>NO ACTION — adequate</v>
      </c>
    </row>
    <row r="14" customFormat="false" ht="21.75" hidden="false" customHeight="true" outlineLevel="0" collapsed="false">
      <c r="B14" s="41" t="s">
        <v>145</v>
      </c>
      <c r="C14" s="39" t="str">
        <f aca="false">IFERROR(VLOOKUP(B14,CCN_TABLE,2,FALSE()),"")</f>
        <v>Applied Instruction Building</v>
      </c>
      <c r="D14" s="38" t="str">
        <f aca="false">IFERROR(VLOOKUP(B14,CCN_TABLE,3,FALSE()),"")</f>
        <v>SF</v>
      </c>
      <c r="E14" s="35" t="n">
        <f aca="false">IF(BFR_Calculator!I14="",BFR_Calculator!H14,BFR_Calculator!I14)</f>
        <v>0</v>
      </c>
      <c r="F14" s="35" t="n">
        <f aca="false">G14+H14</f>
        <v>0</v>
      </c>
      <c r="G14" s="34" t="n">
        <v>0</v>
      </c>
      <c r="H14" s="34" t="n">
        <v>0</v>
      </c>
      <c r="I14" s="48" t="n">
        <f aca="false">G14-E14</f>
        <v>0</v>
      </c>
      <c r="J14" s="39" t="str">
        <f aca="false">IF(I14&lt;0,"NEW or RENOVATE — deficit of "&amp;TEXT(ABS(I14),"#,##0")&amp;" "&amp;D14,IF(H14&gt;0,"REHAB — inadequate assets exist","NO ACTION — adequate"))</f>
        <v>NO ACTION — adequate</v>
      </c>
    </row>
    <row r="15" customFormat="false" ht="21.75" hidden="false" customHeight="true" outlineLevel="0" collapsed="false">
      <c r="B15" s="41" t="s">
        <v>147</v>
      </c>
      <c r="C15" s="39" t="str">
        <f aca="false">IFERROR(VLOOKUP(B15,CCN_TABLE,2,FALSE()),"")</f>
        <v>Small Arms Range — Indoor</v>
      </c>
      <c r="D15" s="38" t="str">
        <f aca="false">IFERROR(VLOOKUP(B15,CCN_TABLE,3,FALSE()),"")</f>
        <v>SF</v>
      </c>
      <c r="E15" s="35" t="n">
        <f aca="false">IF(BFR_Calculator!I15="",BFR_Calculator!H15,BFR_Calculator!I15)</f>
        <v>0</v>
      </c>
      <c r="F15" s="35" t="n">
        <f aca="false">G15+H15</f>
        <v>0</v>
      </c>
      <c r="G15" s="34" t="n">
        <v>0</v>
      </c>
      <c r="H15" s="34" t="n">
        <v>0</v>
      </c>
      <c r="I15" s="48" t="n">
        <f aca="false">G15-E15</f>
        <v>0</v>
      </c>
      <c r="J15" s="39" t="str">
        <f aca="false">IF(I15&lt;0,"NEW or RENOVATE — deficit of "&amp;TEXT(ABS(I15),"#,##0")&amp;" "&amp;D15,IF(H15&gt;0,"REHAB — inadequate assets exist","NO ACTION — adequate"))</f>
        <v>NO ACTION — adequate</v>
      </c>
    </row>
    <row r="16" customFormat="false" ht="21.75" hidden="false" customHeight="true" outlineLevel="0" collapsed="false">
      <c r="B16" s="41" t="s">
        <v>149</v>
      </c>
      <c r="C16" s="39" t="str">
        <f aca="false">IFERROR(VLOOKUP(B16,CCN_TABLE,2,FALSE()),"")</f>
        <v>Range Operations Building</v>
      </c>
      <c r="D16" s="38" t="str">
        <f aca="false">IFERROR(VLOOKUP(B16,CCN_TABLE,3,FALSE()),"")</f>
        <v>SF</v>
      </c>
      <c r="E16" s="35" t="n">
        <f aca="false">IF(BFR_Calculator!I16="",BFR_Calculator!H16,BFR_Calculator!I16)</f>
        <v>0</v>
      </c>
      <c r="F16" s="35" t="n">
        <f aca="false">G16+H16</f>
        <v>0</v>
      </c>
      <c r="G16" s="34" t="n">
        <v>0</v>
      </c>
      <c r="H16" s="34" t="n">
        <v>0</v>
      </c>
      <c r="I16" s="48" t="n">
        <f aca="false">G16-E16</f>
        <v>0</v>
      </c>
      <c r="J16" s="39" t="str">
        <f aca="false">IF(I16&lt;0,"NEW or RENOVATE — deficit of "&amp;TEXT(ABS(I16),"#,##0")&amp;" "&amp;D16,IF(H16&gt;0,"REHAB — inadequate assets exist","NO ACTION — adequate"))</f>
        <v>NO ACTION — adequate</v>
      </c>
    </row>
    <row r="17" customFormat="false" ht="21.75" hidden="false" customHeight="true" outlineLevel="0" collapsed="false">
      <c r="B17" s="41" t="s">
        <v>151</v>
      </c>
      <c r="C17" s="39" t="str">
        <f aca="false">IFERROR(VLOOKUP(B17,CCN_TABLE,2,FALSE()),"")</f>
        <v>Range Support Building</v>
      </c>
      <c r="D17" s="38" t="str">
        <f aca="false">IFERROR(VLOOKUP(B17,CCN_TABLE,3,FALSE()),"")</f>
        <v>SF</v>
      </c>
      <c r="E17" s="35" t="n">
        <f aca="false">IF(BFR_Calculator!I17="",BFR_Calculator!H17,BFR_Calculator!I17)</f>
        <v>0</v>
      </c>
      <c r="F17" s="35" t="n">
        <f aca="false">G17+H17</f>
        <v>0</v>
      </c>
      <c r="G17" s="34" t="n">
        <v>0</v>
      </c>
      <c r="H17" s="34" t="n">
        <v>0</v>
      </c>
      <c r="I17" s="48" t="n">
        <f aca="false">G17-E17</f>
        <v>0</v>
      </c>
      <c r="J17" s="39" t="str">
        <f aca="false">IF(I17&lt;0,"NEW or RENOVATE — deficit of "&amp;TEXT(ABS(I17),"#,##0")&amp;" "&amp;D17,IF(H17&gt;0,"REHAB — inadequate assets exist","NO ACTION — adequate"))</f>
        <v>NO ACTION — adequate</v>
      </c>
    </row>
    <row r="18" customFormat="false" ht="21.75" hidden="false" customHeight="true" outlineLevel="0" collapsed="false">
      <c r="B18" s="41" t="s">
        <v>153</v>
      </c>
      <c r="C18" s="39" t="str">
        <f aca="false">IFERROR(VLOOKUP(B18,CCN_TABLE,2,FALSE()),"")</f>
        <v>Parade and Drill Field</v>
      </c>
      <c r="D18" s="38" t="str">
        <f aca="false">IFERROR(VLOOKUP(B18,CCN_TABLE,3,FALSE()),"")</f>
        <v>AC</v>
      </c>
      <c r="E18" s="35" t="n">
        <f aca="false">IF(BFR_Calculator!I18="",BFR_Calculator!H18,BFR_Calculator!I18)</f>
        <v>2.48</v>
      </c>
      <c r="F18" s="35" t="n">
        <f aca="false">G18+H18</f>
        <v>0</v>
      </c>
      <c r="G18" s="34" t="n">
        <v>0</v>
      </c>
      <c r="H18" s="34" t="n">
        <v>0</v>
      </c>
      <c r="I18" s="48" t="n">
        <f aca="false">G18-E18</f>
        <v>-2.48</v>
      </c>
      <c r="J18" s="39" t="str">
        <f aca="false">IF(I18&lt;0,"NEW or RENOVATE — deficit of "&amp;TEXT(ABS(I18),"#,##0")&amp;" "&amp;D18,IF(H18&gt;0,"REHAB — inadequate assets exist","NO ACTION — adequate"))</f>
        <v>NEW or RENOVATE — deficit of 2 AC</v>
      </c>
    </row>
    <row r="19" customFormat="false" ht="21.75" hidden="false" customHeight="true" outlineLevel="0" collapsed="false">
      <c r="B19" s="41" t="s">
        <v>155</v>
      </c>
      <c r="C19" s="39" t="str">
        <f aca="false">IFERROR(VLOOKUP(B19,CCN_TABLE,2,FALSE()),"")</f>
        <v>Confidence Course</v>
      </c>
      <c r="D19" s="38" t="str">
        <f aca="false">IFERROR(VLOOKUP(B19,CCN_TABLE,3,FALSE()),"")</f>
        <v>AC</v>
      </c>
      <c r="E19" s="35" t="n">
        <f aca="false">IF(BFR_Calculator!I19="",BFR_Calculator!H19,BFR_Calculator!I19)</f>
        <v>0</v>
      </c>
      <c r="F19" s="35" t="n">
        <f aca="false">G19+H19</f>
        <v>0</v>
      </c>
      <c r="G19" s="34" t="n">
        <v>0</v>
      </c>
      <c r="H19" s="34" t="n">
        <v>0</v>
      </c>
      <c r="I19" s="48" t="n">
        <f aca="false">G19-E19</f>
        <v>0</v>
      </c>
      <c r="J19" s="39" t="str">
        <f aca="false">IF(I19&lt;0,"NEW or RENOVATE — deficit of "&amp;TEXT(ABS(I19),"#,##0")&amp;" "&amp;D19,IF(H19&gt;0,"REHAB — inadequate assets exist","NO ACTION — adequate"))</f>
        <v>NO ACTION — adequate</v>
      </c>
    </row>
    <row r="20" customFormat="false" ht="21.75" hidden="false" customHeight="true" outlineLevel="0" collapsed="false">
      <c r="B20" s="41" t="s">
        <v>157</v>
      </c>
      <c r="C20" s="39" t="str">
        <f aca="false">IFERROR(VLOOKUP(B20,CCN_TABLE,2,FALSE()),"")</f>
        <v>Obstacle Course</v>
      </c>
      <c r="D20" s="38" t="str">
        <f aca="false">IFERROR(VLOOKUP(B20,CCN_TABLE,3,FALSE()),"")</f>
        <v>AC</v>
      </c>
      <c r="E20" s="35" t="n">
        <f aca="false">IF(BFR_Calculator!I20="",BFR_Calculator!H20,BFR_Calculator!I20)</f>
        <v>0</v>
      </c>
      <c r="F20" s="35" t="n">
        <f aca="false">G20+H20</f>
        <v>0</v>
      </c>
      <c r="G20" s="34" t="n">
        <v>0</v>
      </c>
      <c r="H20" s="34" t="n">
        <v>0</v>
      </c>
      <c r="I20" s="48" t="n">
        <f aca="false">G20-E20</f>
        <v>0</v>
      </c>
      <c r="J20" s="39" t="str">
        <f aca="false">IF(I20&lt;0,"NEW or RENOVATE — deficit of "&amp;TEXT(ABS(I20),"#,##0")&amp;" "&amp;D20,IF(H20&gt;0,"REHAB — inadequate assets exist","NO ACTION — adequate"))</f>
        <v>NO ACTION — adequate</v>
      </c>
    </row>
  </sheetData>
  <mergeCells count="3">
    <mergeCell ref="B2:J2"/>
    <mergeCell ref="B3:J3"/>
    <mergeCell ref="B5:J5"/>
  </mergeCells>
  <conditionalFormatting sqref="I7:I20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50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" t="s">
        <v>191</v>
      </c>
      <c r="C2" s="2"/>
      <c r="D2" s="2"/>
      <c r="E2" s="2"/>
    </row>
    <row r="3" customFormat="false" ht="18" hidden="false" customHeight="true" outlineLevel="0" collapsed="false">
      <c r="B3" s="3" t="s">
        <v>192</v>
      </c>
      <c r="C3" s="3"/>
      <c r="D3" s="3"/>
      <c r="E3" s="3"/>
    </row>
    <row r="5" customFormat="false" ht="21.75" hidden="false" customHeight="true" outlineLevel="0" collapsed="false">
      <c r="B5" s="4" t="s">
        <v>193</v>
      </c>
      <c r="C5" s="4"/>
      <c r="D5" s="4"/>
      <c r="E5" s="4"/>
    </row>
    <row r="6" customFormat="false" ht="41.25" hidden="false" customHeight="true" outlineLevel="0" collapsed="false">
      <c r="B6" s="33" t="s">
        <v>126</v>
      </c>
      <c r="C6" s="33" t="s">
        <v>194</v>
      </c>
      <c r="D6" s="33" t="s">
        <v>195</v>
      </c>
    </row>
    <row r="7" customFormat="false" ht="168.75" hidden="false" customHeight="true" outlineLevel="0" collapsed="false">
      <c r="B7" s="5" t="s">
        <v>196</v>
      </c>
      <c r="C7" s="49" t="n">
        <v>2.34</v>
      </c>
      <c r="D7" s="50" t="s">
        <v>197</v>
      </c>
      <c r="E7" s="50"/>
    </row>
    <row r="8" customFormat="false" ht="168.75" hidden="false" customHeight="true" outlineLevel="0" collapsed="false">
      <c r="B8" s="5" t="s">
        <v>198</v>
      </c>
      <c r="C8" s="49" t="n">
        <v>2.1</v>
      </c>
      <c r="D8" s="50" t="s">
        <v>199</v>
      </c>
      <c r="E8" s="50"/>
    </row>
    <row r="9" customFormat="false" ht="124.5" hidden="false" customHeight="true" outlineLevel="0" collapsed="false">
      <c r="B9" s="5" t="s">
        <v>200</v>
      </c>
      <c r="C9" s="49" t="n">
        <v>1</v>
      </c>
      <c r="D9" s="50" t="s">
        <v>201</v>
      </c>
      <c r="E9" s="50"/>
    </row>
    <row r="10" customFormat="false" ht="79.5" hidden="false" customHeight="true" outlineLevel="0" collapsed="false">
      <c r="B10" s="5" t="s">
        <v>202</v>
      </c>
      <c r="C10" s="49" t="n">
        <v>1.05</v>
      </c>
      <c r="D10" s="50" t="s">
        <v>203</v>
      </c>
      <c r="E10" s="50"/>
    </row>
    <row r="11" customFormat="false" ht="102" hidden="false" customHeight="true" outlineLevel="0" collapsed="false">
      <c r="B11" s="5" t="s">
        <v>204</v>
      </c>
      <c r="C11" s="49" t="n">
        <v>1.065</v>
      </c>
      <c r="D11" s="50" t="s">
        <v>205</v>
      </c>
      <c r="E11" s="50"/>
    </row>
    <row r="12" customFormat="false" ht="102" hidden="false" customHeight="true" outlineLevel="0" collapsed="false">
      <c r="B12" s="5" t="s">
        <v>206</v>
      </c>
      <c r="C12" s="49" t="n">
        <v>1.09</v>
      </c>
      <c r="D12" s="50" t="s">
        <v>207</v>
      </c>
      <c r="E12" s="50"/>
    </row>
    <row r="13" customFormat="false" ht="102" hidden="false" customHeight="true" outlineLevel="0" collapsed="false">
      <c r="B13" s="5" t="s">
        <v>208</v>
      </c>
      <c r="C13" s="49" t="n">
        <v>1</v>
      </c>
      <c r="D13" s="50" t="s">
        <v>209</v>
      </c>
      <c r="E13" s="50"/>
    </row>
    <row r="16" customFormat="false" ht="21.75" hidden="false" customHeight="true" outlineLevel="0" collapsed="false">
      <c r="B16" s="4" t="s">
        <v>210</v>
      </c>
      <c r="C16" s="4"/>
      <c r="D16" s="4"/>
      <c r="E16" s="4"/>
    </row>
    <row r="17" customFormat="false" ht="41.25" hidden="false" customHeight="true" outlineLevel="0" collapsed="false">
      <c r="B17" s="33" t="s">
        <v>211</v>
      </c>
      <c r="C17" s="33" t="s">
        <v>212</v>
      </c>
      <c r="D17" s="33" t="s">
        <v>195</v>
      </c>
      <c r="E17" s="33"/>
    </row>
    <row r="18" customFormat="false" ht="34.5" hidden="false" customHeight="true" outlineLevel="0" collapsed="false">
      <c r="B18" s="25" t="s">
        <v>213</v>
      </c>
      <c r="C18" s="39" t="s">
        <v>214</v>
      </c>
      <c r="D18" s="25"/>
      <c r="E18" s="25"/>
    </row>
    <row r="19" customFormat="false" ht="23.25" hidden="false" customHeight="true" outlineLevel="0" collapsed="false">
      <c r="B19" s="25" t="s">
        <v>213</v>
      </c>
      <c r="C19" s="39" t="s">
        <v>215</v>
      </c>
      <c r="D19" s="25"/>
      <c r="E19" s="25"/>
    </row>
    <row r="20" customFormat="false" ht="23.25" hidden="false" customHeight="true" outlineLevel="0" collapsed="false">
      <c r="B20" s="25" t="s">
        <v>213</v>
      </c>
      <c r="C20" s="39" t="s">
        <v>216</v>
      </c>
      <c r="D20" s="25"/>
      <c r="E20" s="25"/>
    </row>
    <row r="21" customFormat="false" ht="23.25" hidden="false" customHeight="true" outlineLevel="0" collapsed="false">
      <c r="B21" s="25" t="s">
        <v>213</v>
      </c>
      <c r="C21" s="39" t="s">
        <v>217</v>
      </c>
      <c r="D21" s="25"/>
      <c r="E21" s="25"/>
    </row>
    <row r="22" customFormat="false" ht="34.5" hidden="false" customHeight="true" outlineLevel="0" collapsed="false">
      <c r="B22" s="25" t="s">
        <v>213</v>
      </c>
      <c r="C22" s="39" t="s">
        <v>218</v>
      </c>
      <c r="D22" s="25"/>
      <c r="E22" s="25"/>
    </row>
    <row r="23" customFormat="false" ht="23.25" hidden="false" customHeight="true" outlineLevel="0" collapsed="false">
      <c r="B23" s="25" t="s">
        <v>213</v>
      </c>
      <c r="C23" s="39" t="s">
        <v>219</v>
      </c>
      <c r="D23" s="25"/>
      <c r="E23" s="25"/>
    </row>
    <row r="24" customFormat="false" ht="23.25" hidden="false" customHeight="true" outlineLevel="0" collapsed="false">
      <c r="B24" s="25" t="s">
        <v>213</v>
      </c>
      <c r="C24" s="39" t="s">
        <v>220</v>
      </c>
      <c r="D24" s="25"/>
      <c r="E24" s="25"/>
    </row>
    <row r="25" customFormat="false" ht="23.25" hidden="false" customHeight="true" outlineLevel="0" collapsed="false">
      <c r="B25" s="25" t="s">
        <v>213</v>
      </c>
      <c r="C25" s="39" t="s">
        <v>221</v>
      </c>
      <c r="D25" s="25"/>
      <c r="E25" s="25"/>
    </row>
    <row r="26" customFormat="false" ht="23.25" hidden="false" customHeight="true" outlineLevel="0" collapsed="false">
      <c r="B26" s="25" t="s">
        <v>213</v>
      </c>
      <c r="C26" s="39" t="s">
        <v>222</v>
      </c>
      <c r="D26" s="25"/>
      <c r="E26" s="25"/>
    </row>
    <row r="27" customFormat="false" ht="23.25" hidden="false" customHeight="true" outlineLevel="0" collapsed="false">
      <c r="B27" s="25" t="s">
        <v>213</v>
      </c>
      <c r="C27" s="39" t="s">
        <v>223</v>
      </c>
      <c r="D27" s="25"/>
      <c r="E27" s="25"/>
    </row>
  </sheetData>
  <mergeCells count="22">
    <mergeCell ref="B2:E2"/>
    <mergeCell ref="B3:E3"/>
    <mergeCell ref="B5:E5"/>
    <mergeCell ref="D7:E7"/>
    <mergeCell ref="D8:E8"/>
    <mergeCell ref="D9:E9"/>
    <mergeCell ref="D10:E10"/>
    <mergeCell ref="D11:E11"/>
    <mergeCell ref="D12:E12"/>
    <mergeCell ref="D13:E13"/>
    <mergeCell ref="B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</mergeCells>
  <dataValidations count="1">
    <dataValidation allowBlank="true" errorStyle="stop" operator="between" showDropDown="false" showErrorMessage="false" showInputMessage="false" sqref="B18:B27" type="list">
      <formula1>"Yes,No,N/A,TBD"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10"/>
    <col collapsed="false" customWidth="true" hidden="false" outlineLevel="0" max="4" min="4" style="1" width="36"/>
    <col collapsed="false" customWidth="true" hidden="false" outlineLevel="0" max="5" min="5" style="1" width="8"/>
    <col collapsed="false" customWidth="true" hidden="false" outlineLevel="0" max="8" min="6" style="1" width="12"/>
    <col collapsed="false" customWidth="true" hidden="false" outlineLevel="0" max="9" min="9" style="1" width="40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" t="s">
        <v>224</v>
      </c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B3" s="3" t="s">
        <v>225</v>
      </c>
      <c r="C3" s="3"/>
      <c r="D3" s="3"/>
      <c r="E3" s="3"/>
      <c r="F3" s="3"/>
      <c r="G3" s="3"/>
      <c r="H3" s="3"/>
      <c r="I3" s="3"/>
    </row>
    <row r="5" customFormat="false" ht="21.75" hidden="false" customHeight="true" outlineLevel="0" collapsed="false">
      <c r="B5" s="4" t="s">
        <v>226</v>
      </c>
      <c r="C5" s="4"/>
      <c r="D5" s="4"/>
      <c r="E5" s="4"/>
      <c r="F5" s="4"/>
      <c r="G5" s="4"/>
      <c r="H5" s="4"/>
      <c r="I5" s="4"/>
    </row>
    <row r="6" customFormat="false" ht="57" hidden="false" customHeight="true" outlineLevel="0" collapsed="false">
      <c r="B6" s="5" t="s">
        <v>3</v>
      </c>
      <c r="C6" s="51" t="n">
        <f aca="false">PROJ_TITLE</f>
        <v>0</v>
      </c>
      <c r="D6" s="51"/>
      <c r="E6" s="51"/>
      <c r="F6" s="51"/>
      <c r="G6" s="51"/>
      <c r="H6" s="51"/>
      <c r="I6" s="51"/>
    </row>
    <row r="7" customFormat="false" ht="45.75" hidden="false" customHeight="true" outlineLevel="0" collapsed="false">
      <c r="B7" s="5" t="s">
        <v>4</v>
      </c>
      <c r="C7" s="51" t="str">
        <f aca="false">INSTALLATION</f>
        <v>Camp Foster, Okinawa, JP</v>
      </c>
      <c r="D7" s="51"/>
      <c r="E7" s="51"/>
      <c r="F7" s="51"/>
      <c r="G7" s="51"/>
      <c r="H7" s="51"/>
      <c r="I7" s="51"/>
    </row>
    <row r="8" customFormat="false" ht="57" hidden="false" customHeight="true" outlineLevel="0" collapsed="false">
      <c r="B8" s="5" t="s">
        <v>6</v>
      </c>
      <c r="C8" s="51" t="n">
        <f aca="false">BLDG_NO</f>
        <v>0</v>
      </c>
      <c r="D8" s="51"/>
      <c r="E8" s="51"/>
      <c r="F8" s="51"/>
      <c r="G8" s="51"/>
      <c r="H8" s="51"/>
      <c r="I8" s="51"/>
    </row>
    <row r="9" customFormat="false" ht="79.5" hidden="false" customHeight="true" outlineLevel="0" collapsed="false">
      <c r="B9" s="5" t="s">
        <v>7</v>
      </c>
      <c r="C9" s="51" t="str">
        <f aca="false">REGION</f>
        <v>MCIPAC / MCBJ (COMMARCORBASESJAPAN) — 3d MLG / CLR-3</v>
      </c>
      <c r="D9" s="51"/>
      <c r="E9" s="51"/>
      <c r="F9" s="51"/>
      <c r="G9" s="51"/>
      <c r="H9" s="51"/>
      <c r="I9" s="51"/>
    </row>
    <row r="10" customFormat="false" ht="57" hidden="false" customHeight="true" outlineLevel="0" collapsed="false">
      <c r="B10" s="5" t="s">
        <v>227</v>
      </c>
      <c r="C10" s="51" t="str">
        <f aca="false">TENANT_UNIT</f>
        <v>CLB-4 (UIC M29110)</v>
      </c>
      <c r="D10" s="51"/>
      <c r="E10" s="51"/>
      <c r="F10" s="51"/>
      <c r="G10" s="51"/>
      <c r="H10" s="51"/>
      <c r="I10" s="51"/>
    </row>
    <row r="11" customFormat="false" ht="45.75" hidden="false" customHeight="true" outlineLevel="0" collapsed="false">
      <c r="B11" s="5" t="s">
        <v>11</v>
      </c>
      <c r="C11" s="51" t="str">
        <f aca="false">UIC</f>
        <v>M29110 (CLB-4 — composite of M29111/12/13/14)</v>
      </c>
      <c r="D11" s="51"/>
      <c r="E11" s="51"/>
      <c r="F11" s="51"/>
      <c r="G11" s="51"/>
      <c r="H11" s="51"/>
      <c r="I11" s="51"/>
    </row>
    <row r="12" customFormat="false" ht="34.5" hidden="false" customHeight="true" outlineLevel="0" collapsed="false">
      <c r="B12" s="5" t="s">
        <v>228</v>
      </c>
      <c r="C12" s="51" t="n">
        <f aca="false">PLANNER</f>
        <v>0</v>
      </c>
      <c r="D12" s="51"/>
      <c r="E12" s="51"/>
      <c r="F12" s="51"/>
      <c r="G12" s="51"/>
      <c r="H12" s="51"/>
      <c r="I12" s="51"/>
    </row>
    <row r="13" customFormat="false" ht="68.25" hidden="false" customHeight="true" outlineLevel="0" collapsed="false">
      <c r="B13" s="5" t="s">
        <v>14</v>
      </c>
      <c r="C13" s="51" t="n">
        <f aca="false">PROJ_DATE</f>
        <v>0</v>
      </c>
      <c r="D13" s="51"/>
      <c r="E13" s="51"/>
      <c r="F13" s="51"/>
      <c r="G13" s="51"/>
      <c r="H13" s="51"/>
      <c r="I13" s="51"/>
    </row>
    <row r="14" customFormat="false" ht="45.75" hidden="false" customHeight="true" outlineLevel="0" collapsed="false">
      <c r="B14" s="5" t="s">
        <v>229</v>
      </c>
      <c r="C14" s="51" t="n">
        <f aca="false">PROG_FY</f>
        <v>0</v>
      </c>
      <c r="D14" s="51"/>
      <c r="E14" s="51"/>
      <c r="F14" s="51"/>
      <c r="G14" s="51"/>
      <c r="H14" s="51"/>
      <c r="I14" s="51"/>
    </row>
    <row r="15" customFormat="false" ht="57" hidden="false" customHeight="true" outlineLevel="0" collapsed="false">
      <c r="B15" s="5" t="s">
        <v>230</v>
      </c>
      <c r="C15" s="51" t="n">
        <f aca="false">DD1391</f>
        <v>0</v>
      </c>
      <c r="D15" s="51"/>
      <c r="E15" s="51"/>
      <c r="F15" s="51"/>
      <c r="G15" s="51"/>
      <c r="H15" s="51"/>
      <c r="I15" s="51"/>
    </row>
    <row r="17" customFormat="false" ht="21.75" hidden="false" customHeight="true" outlineLevel="0" collapsed="false">
      <c r="B17" s="4" t="s">
        <v>231</v>
      </c>
      <c r="C17" s="4"/>
      <c r="D17" s="4"/>
      <c r="E17" s="4"/>
      <c r="F17" s="4"/>
      <c r="G17" s="4"/>
      <c r="H17" s="4"/>
      <c r="I17" s="4"/>
    </row>
    <row r="18" customFormat="false" ht="90.75" hidden="false" customHeight="true" outlineLevel="0" collapsed="false">
      <c r="B18" s="5" t="s">
        <v>232</v>
      </c>
      <c r="C18" s="27" t="n">
        <f aca="false">PN_TOTAL</f>
        <v>310</v>
      </c>
      <c r="D18" s="27"/>
      <c r="E18" s="27"/>
      <c r="F18" s="5" t="s">
        <v>88</v>
      </c>
      <c r="G18" s="27" t="n">
        <f aca="false">PN_OFF</f>
        <v>30</v>
      </c>
      <c r="H18" s="27"/>
      <c r="I18" s="27"/>
    </row>
    <row r="19" customFormat="false" ht="34.5" hidden="false" customHeight="true" outlineLevel="0" collapsed="false">
      <c r="B19" s="5" t="s">
        <v>89</v>
      </c>
      <c r="C19" s="27" t="n">
        <f aca="false">PN_ENL</f>
        <v>277</v>
      </c>
      <c r="D19" s="27"/>
      <c r="E19" s="27"/>
      <c r="F19" s="5" t="s">
        <v>52</v>
      </c>
      <c r="G19" s="27" t="n">
        <f aca="false">PN_CIV</f>
        <v>0</v>
      </c>
      <c r="H19" s="27"/>
      <c r="I19" s="27"/>
    </row>
    <row r="20" customFormat="false" ht="45.75" hidden="false" customHeight="true" outlineLevel="0" collapsed="false">
      <c r="B20" s="5" t="s">
        <v>53</v>
      </c>
      <c r="C20" s="27" t="n">
        <f aca="false">PN_CTR</f>
        <v>0</v>
      </c>
      <c r="D20" s="27"/>
      <c r="E20" s="27"/>
      <c r="F20" s="5" t="s">
        <v>233</v>
      </c>
      <c r="G20" s="27" t="n">
        <f aca="false">PN_MIL</f>
        <v>307</v>
      </c>
      <c r="H20" s="27"/>
      <c r="I20" s="27"/>
    </row>
    <row r="23" customFormat="false" ht="21.75" hidden="false" customHeight="true" outlineLevel="0" collapsed="false">
      <c r="B23" s="4" t="s">
        <v>234</v>
      </c>
      <c r="C23" s="4"/>
      <c r="D23" s="4"/>
      <c r="E23" s="4"/>
      <c r="F23" s="4"/>
      <c r="G23" s="4"/>
      <c r="H23" s="4"/>
      <c r="I23" s="4"/>
    </row>
    <row r="24" customFormat="false" ht="27.75" hidden="false" customHeight="true" outlineLevel="0" collapsed="false">
      <c r="B24" s="40" t="s">
        <v>122</v>
      </c>
      <c r="C24" s="40" t="s">
        <v>123</v>
      </c>
      <c r="D24" s="40" t="s">
        <v>124</v>
      </c>
      <c r="E24" s="40" t="s">
        <v>128</v>
      </c>
      <c r="F24" s="40" t="s">
        <v>235</v>
      </c>
      <c r="G24" s="40" t="s">
        <v>236</v>
      </c>
      <c r="H24" s="40" t="s">
        <v>237</v>
      </c>
      <c r="I24" s="40" t="s">
        <v>238</v>
      </c>
    </row>
    <row r="25" customFormat="false" ht="24" hidden="false" customHeight="true" outlineLevel="0" collapsed="false">
      <c r="B25" s="41" t="s">
        <v>131</v>
      </c>
      <c r="C25" s="39" t="str">
        <f aca="false">IFERROR(VLOOKUP(B25,CCN_TABLE,2,FALSE()),"")</f>
        <v>Emergency Vehicle Garage</v>
      </c>
      <c r="D25" s="38" t="str">
        <f aca="false">IFERROR(VLOOKUP(B25,CCN_TABLE,3,FALSE()),"")</f>
        <v>SF</v>
      </c>
      <c r="E25" s="35" t="n">
        <f aca="false">Inventory!E7</f>
        <v>0</v>
      </c>
      <c r="F25" s="35" t="n">
        <f aca="false">Inventory!F7</f>
        <v>0</v>
      </c>
      <c r="G25" s="48" t="n">
        <f aca="false">Inventory!I7</f>
        <v>0</v>
      </c>
      <c r="H25" s="39" t="str">
        <f aca="false">Inventory!J7</f>
        <v>NO ACTION — adequate</v>
      </c>
      <c r="I25" s="39" t="str">
        <f aca="false">BFR_Calculator!J7</f>
        <v>Emergency Vehicle Garage — engineering analysis required.</v>
      </c>
    </row>
    <row r="26" customFormat="false" ht="24" hidden="false" customHeight="true" outlineLevel="0" collapsed="false">
      <c r="B26" s="41" t="s">
        <v>133</v>
      </c>
      <c r="C26" s="39" t="str">
        <f aca="false">IFERROR(VLOOKUP(B26,CCN_TABLE,2,FALSE()),"")</f>
        <v>Operational Vehicle Garage</v>
      </c>
      <c r="D26" s="38" t="str">
        <f aca="false">IFERROR(VLOOKUP(B26,CCN_TABLE,3,FALSE()),"")</f>
        <v>SF</v>
      </c>
      <c r="E26" s="35" t="n">
        <f aca="false">Inventory!E8</f>
        <v>0</v>
      </c>
      <c r="F26" s="35" t="n">
        <f aca="false">Inventory!F8</f>
        <v>0</v>
      </c>
      <c r="G26" s="48" t="n">
        <f aca="false">Inventory!I8</f>
        <v>0</v>
      </c>
      <c r="H26" s="39" t="str">
        <f aca="false">Inventory!J8</f>
        <v>NO ACTION — adequate</v>
      </c>
      <c r="I26" s="39" t="str">
        <f aca="false">BFR_Calculator!J8</f>
        <v>Operational Vehicle Garage — sum of all type allowances + 250 SF mech room.</v>
      </c>
    </row>
    <row r="27" customFormat="false" ht="24" hidden="false" customHeight="true" outlineLevel="0" collapsed="false">
      <c r="B27" s="41" t="s">
        <v>135</v>
      </c>
      <c r="C27" s="39" t="str">
        <f aca="false">IFERROR(VLOOKUP(B27,CCN_TABLE,2,FALSE()),"")</f>
        <v>Operational Vehicle Laydown Area</v>
      </c>
      <c r="D27" s="38" t="str">
        <f aca="false">IFERROR(VLOOKUP(B27,CCN_TABLE,3,FALSE()),"")</f>
        <v>SY</v>
      </c>
      <c r="E27" s="35" t="n">
        <f aca="false">Inventory!E9</f>
        <v>0</v>
      </c>
      <c r="F27" s="35" t="n">
        <f aca="false">Inventory!F9</f>
        <v>0</v>
      </c>
      <c r="G27" s="48" t="n">
        <f aca="false">Inventory!I9</f>
        <v>0</v>
      </c>
      <c r="H27" s="39" t="str">
        <f aca="false">Inventory!J9</f>
        <v>NO ACTION — adequate</v>
      </c>
      <c r="I27" s="39" t="str">
        <f aca="false">BFR_Calculator!J9</f>
        <v>Operational Vehicle Laydown Area (SY).</v>
      </c>
    </row>
    <row r="28" customFormat="false" ht="24" hidden="false" customHeight="true" outlineLevel="0" collapsed="false">
      <c r="B28" s="41" t="s">
        <v>137</v>
      </c>
      <c r="C28" s="39" t="str">
        <f aca="false">IFERROR(VLOOKUP(B28,CCN_TABLE,2,FALSE()),"")</f>
        <v>Marine Corps EOD Facility</v>
      </c>
      <c r="D28" s="38" t="str">
        <f aca="false">IFERROR(VLOOKUP(B28,CCN_TABLE,3,FALSE()),"")</f>
        <v>SF</v>
      </c>
      <c r="E28" s="35" t="n">
        <f aca="false">Inventory!E10</f>
        <v>7204</v>
      </c>
      <c r="F28" s="35" t="n">
        <f aca="false">Inventory!F10</f>
        <v>0</v>
      </c>
      <c r="G28" s="48" t="n">
        <f aca="false">Inventory!I10</f>
        <v>-7204</v>
      </c>
      <c r="H28" s="39" t="str">
        <f aca="false">Inventory!J10</f>
        <v>NEW or RENOVATE — deficit of 7,204 SF</v>
      </c>
      <c r="I28" s="39" t="str">
        <f aca="false">BFR_Calculator!J10</f>
        <v>Marine Corps EOD Facility — 7,000 GSF EOD bldg + 204 GSF Haz/Flam.</v>
      </c>
    </row>
    <row r="29" customFormat="false" ht="24" hidden="false" customHeight="true" outlineLevel="0" collapsed="false">
      <c r="B29" s="41" t="s">
        <v>139</v>
      </c>
      <c r="C29" s="39" t="str">
        <f aca="false">IFERROR(VLOOKUP(B29,CCN_TABLE,2,FALSE()),"")</f>
        <v>Armory</v>
      </c>
      <c r="D29" s="38" t="str">
        <f aca="false">IFERROR(VLOOKUP(B29,CCN_TABLE,3,FALSE()),"")</f>
        <v>SF</v>
      </c>
      <c r="E29" s="35" t="n">
        <f aca="false">Inventory!E11</f>
        <v>0</v>
      </c>
      <c r="F29" s="35" t="n">
        <f aca="false">Inventory!F11</f>
        <v>0</v>
      </c>
      <c r="G29" s="48" t="n">
        <f aca="false">Inventory!I11</f>
        <v>0</v>
      </c>
      <c r="H29" s="39" t="str">
        <f aca="false">Inventory!J11</f>
        <v>NO ACTION — adequate</v>
      </c>
      <c r="I29" s="39" t="str">
        <f aca="false">BFR_Calculator!J11</f>
        <v>Armory — sized via Table 14345-1; engineering analysis if outside scope.</v>
      </c>
    </row>
    <row r="30" customFormat="false" ht="24" hidden="false" customHeight="true" outlineLevel="0" collapsed="false">
      <c r="B30" s="41" t="s">
        <v>141</v>
      </c>
      <c r="C30" s="39" t="str">
        <f aca="false">IFERROR(VLOOKUP(B30,CCN_TABLE,2,FALSE()),"")</f>
        <v>Marine Barracks - General Purpose</v>
      </c>
      <c r="D30" s="38" t="str">
        <f aca="false">IFERROR(VLOOKUP(B30,CCN_TABLE,3,FALSE()),"")</f>
        <v>SF</v>
      </c>
      <c r="E30" s="35" t="n">
        <f aca="false">Inventory!E12</f>
        <v>0</v>
      </c>
      <c r="F30" s="35" t="n">
        <f aca="false">Inventory!F12</f>
        <v>0</v>
      </c>
      <c r="G30" s="48" t="n">
        <f aca="false">Inventory!I12</f>
        <v>0</v>
      </c>
      <c r="H30" s="39" t="str">
        <f aca="false">Inventory!J12</f>
        <v>NO ACTION — adequate</v>
      </c>
      <c r="I30" s="39" t="str">
        <f aca="false">BFR_Calculator!J12</f>
        <v>Marine Barracks — only if barracking is required.</v>
      </c>
    </row>
    <row r="31" customFormat="false" ht="24" hidden="false" customHeight="true" outlineLevel="0" collapsed="false">
      <c r="B31" s="41" t="s">
        <v>143</v>
      </c>
      <c r="C31" s="39" t="str">
        <f aca="false">IFERROR(VLOOKUP(B31,CCN_TABLE,2,FALSE()),"")</f>
        <v>Academic Instruction Building</v>
      </c>
      <c r="D31" s="38" t="str">
        <f aca="false">IFERROR(VLOOKUP(B31,CCN_TABLE,3,FALSE()),"")</f>
        <v>SF</v>
      </c>
      <c r="E31" s="35" t="n">
        <f aca="false">Inventory!E13</f>
        <v>0</v>
      </c>
      <c r="F31" s="35" t="n">
        <f aca="false">Inventory!F13</f>
        <v>0</v>
      </c>
      <c r="G31" s="48" t="n">
        <f aca="false">Inventory!I13</f>
        <v>0</v>
      </c>
      <c r="H31" s="39" t="str">
        <f aca="false">Inventory!J13</f>
        <v>NO ACTION — adequate</v>
      </c>
      <c r="I31" s="39" t="str">
        <f aca="false">BFR_Calculator!J13</f>
        <v>Academic Instruction — # of student stations × 45 GSF.</v>
      </c>
    </row>
    <row r="32" customFormat="false" ht="24" hidden="false" customHeight="true" outlineLevel="0" collapsed="false">
      <c r="B32" s="41" t="s">
        <v>145</v>
      </c>
      <c r="C32" s="39" t="str">
        <f aca="false">IFERROR(VLOOKUP(B32,CCN_TABLE,2,FALSE()),"")</f>
        <v>Applied Instruction Building</v>
      </c>
      <c r="D32" s="38" t="str">
        <f aca="false">IFERROR(VLOOKUP(B32,CCN_TABLE,3,FALSE()),"")</f>
        <v>SF</v>
      </c>
      <c r="E32" s="35" t="n">
        <f aca="false">Inventory!E14</f>
        <v>0</v>
      </c>
      <c r="F32" s="35" t="n">
        <f aca="false">Inventory!F14</f>
        <v>0</v>
      </c>
      <c r="G32" s="48" t="n">
        <f aca="false">Inventory!I14</f>
        <v>0</v>
      </c>
      <c r="H32" s="39" t="str">
        <f aca="false">Inventory!J14</f>
        <v>NO ACTION — adequate</v>
      </c>
      <c r="I32" s="39" t="str">
        <f aca="false">BFR_Calculator!J14</f>
        <v>Applied Instruction — # of student stations × 150 GSF.</v>
      </c>
    </row>
    <row r="33" customFormat="false" ht="24" hidden="false" customHeight="true" outlineLevel="0" collapsed="false">
      <c r="B33" s="41" t="s">
        <v>147</v>
      </c>
      <c r="C33" s="39" t="str">
        <f aca="false">IFERROR(VLOOKUP(B33,CCN_TABLE,2,FALSE()),"")</f>
        <v>Small Arms Range — Indoor</v>
      </c>
      <c r="D33" s="38" t="str">
        <f aca="false">IFERROR(VLOOKUP(B33,CCN_TABLE,3,FALSE()),"")</f>
        <v>SF</v>
      </c>
      <c r="E33" s="35" t="n">
        <f aca="false">Inventory!E15</f>
        <v>0</v>
      </c>
      <c r="F33" s="35" t="n">
        <f aca="false">Inventory!F15</f>
        <v>0</v>
      </c>
      <c r="G33" s="48" t="n">
        <f aca="false">Inventory!I15</f>
        <v>0</v>
      </c>
      <c r="H33" s="39" t="str">
        <f aca="false">Inventory!J15</f>
        <v>NO ACTION — adequate</v>
      </c>
      <c r="I33" s="39" t="str">
        <f aca="false">BFR_Calculator!J15</f>
        <v>Indoor Small Arms Range — engineering analysis.</v>
      </c>
    </row>
    <row r="34" customFormat="false" ht="24" hidden="false" customHeight="true" outlineLevel="0" collapsed="false">
      <c r="B34" s="41" t="s">
        <v>149</v>
      </c>
      <c r="C34" s="39" t="str">
        <f aca="false">IFERROR(VLOOKUP(B34,CCN_TABLE,2,FALSE()),"")</f>
        <v>Range Operations Building</v>
      </c>
      <c r="D34" s="38" t="str">
        <f aca="false">IFERROR(VLOOKUP(B34,CCN_TABLE,3,FALSE()),"")</f>
        <v>SF</v>
      </c>
      <c r="E34" s="35" t="n">
        <f aca="false">Inventory!E16</f>
        <v>0</v>
      </c>
      <c r="F34" s="35" t="n">
        <f aca="false">Inventory!F16</f>
        <v>0</v>
      </c>
      <c r="G34" s="48" t="n">
        <f aca="false">Inventory!I16</f>
        <v>0</v>
      </c>
      <c r="H34" s="39" t="str">
        <f aca="false">Inventory!J16</f>
        <v>NO ACTION — adequate</v>
      </c>
      <c r="I34" s="39" t="str">
        <f aca="false">BFR_Calculator!J16</f>
        <v>Range Operations Building — engineering analysis.</v>
      </c>
    </row>
    <row r="35" customFormat="false" ht="24" hidden="false" customHeight="true" outlineLevel="0" collapsed="false">
      <c r="B35" s="41" t="s">
        <v>151</v>
      </c>
      <c r="C35" s="39" t="str">
        <f aca="false">IFERROR(VLOOKUP(B35,CCN_TABLE,2,FALSE()),"")</f>
        <v>Range Support Building</v>
      </c>
      <c r="D35" s="38" t="str">
        <f aca="false">IFERROR(VLOOKUP(B35,CCN_TABLE,3,FALSE()),"")</f>
        <v>SF</v>
      </c>
      <c r="E35" s="35" t="n">
        <f aca="false">Inventory!E17</f>
        <v>0</v>
      </c>
      <c r="F35" s="35" t="n">
        <f aca="false">Inventory!F17</f>
        <v>0</v>
      </c>
      <c r="G35" s="48" t="n">
        <f aca="false">Inventory!I17</f>
        <v>0</v>
      </c>
      <c r="H35" s="39" t="str">
        <f aca="false">Inventory!J17</f>
        <v>NO ACTION — adequate</v>
      </c>
      <c r="I35" s="39" t="str">
        <f aca="false">BFR_Calculator!J17</f>
        <v>Range Support Building — engineering analysis.</v>
      </c>
    </row>
    <row r="36" customFormat="false" ht="24" hidden="false" customHeight="true" outlineLevel="0" collapsed="false">
      <c r="B36" s="41" t="s">
        <v>153</v>
      </c>
      <c r="C36" s="39" t="str">
        <f aca="false">IFERROR(VLOOKUP(B36,CCN_TABLE,2,FALSE()),"")</f>
        <v>Parade and Drill Field</v>
      </c>
      <c r="D36" s="38" t="str">
        <f aca="false">IFERROR(VLOOKUP(B36,CCN_TABLE,3,FALSE()),"")</f>
        <v>AC</v>
      </c>
      <c r="E36" s="35" t="n">
        <f aca="false">Inventory!E18</f>
        <v>2.48</v>
      </c>
      <c r="F36" s="35" t="n">
        <f aca="false">Inventory!F18</f>
        <v>0</v>
      </c>
      <c r="G36" s="48" t="n">
        <f aca="false">Inventory!I18</f>
        <v>-2.48</v>
      </c>
      <c r="H36" s="39" t="str">
        <f aca="false">Inventory!J18</f>
        <v>NEW or RENOVATE — deficit of 2 AC</v>
      </c>
      <c r="I36" s="39" t="str">
        <f aca="false">BFR_Calculator!J18</f>
        <v>Parade &amp; Drill Field — 1 AC per 125 personnel.</v>
      </c>
    </row>
    <row r="37" customFormat="false" ht="24" hidden="false" customHeight="true" outlineLevel="0" collapsed="false">
      <c r="B37" s="41" t="s">
        <v>155</v>
      </c>
      <c r="C37" s="39" t="str">
        <f aca="false">IFERROR(VLOOKUP(B37,CCN_TABLE,2,FALSE()),"")</f>
        <v>Confidence Course</v>
      </c>
      <c r="D37" s="38" t="str">
        <f aca="false">IFERROR(VLOOKUP(B37,CCN_TABLE,3,FALSE()),"")</f>
        <v>AC</v>
      </c>
      <c r="E37" s="35" t="n">
        <f aca="false">Inventory!E19</f>
        <v>0</v>
      </c>
      <c r="F37" s="35" t="n">
        <f aca="false">Inventory!F19</f>
        <v>0</v>
      </c>
      <c r="G37" s="48" t="n">
        <f aca="false">Inventory!I19</f>
        <v>0</v>
      </c>
      <c r="H37" s="39" t="str">
        <f aca="false">Inventory!J19</f>
        <v>NO ACTION — adequate</v>
      </c>
      <c r="I37" s="39" t="str">
        <f aca="false">BFR_Calculator!J19</f>
        <v>Confidence Course — 1 EA per complete course.</v>
      </c>
    </row>
    <row r="38" customFormat="false" ht="24" hidden="false" customHeight="true" outlineLevel="0" collapsed="false">
      <c r="B38" s="41" t="s">
        <v>157</v>
      </c>
      <c r="C38" s="39" t="str">
        <f aca="false">IFERROR(VLOOKUP(B38,CCN_TABLE,2,FALSE()),"")</f>
        <v>Obstacle Course</v>
      </c>
      <c r="D38" s="38" t="str">
        <f aca="false">IFERROR(VLOOKUP(B38,CCN_TABLE,3,FALSE()),"")</f>
        <v>AC</v>
      </c>
      <c r="E38" s="35" t="n">
        <f aca="false">Inventory!E20</f>
        <v>0</v>
      </c>
      <c r="F38" s="35" t="n">
        <f aca="false">Inventory!F20</f>
        <v>0</v>
      </c>
      <c r="G38" s="48" t="n">
        <f aca="false">Inventory!I20</f>
        <v>0</v>
      </c>
      <c r="H38" s="39" t="str">
        <f aca="false">Inventory!J20</f>
        <v>NO ACTION — adequate</v>
      </c>
      <c r="I38" s="39" t="str">
        <f aca="false">BFR_Calculator!J20</f>
        <v>Obstacle Course — case-by-case engineering analysis.</v>
      </c>
    </row>
    <row r="41" customFormat="false" ht="21.75" hidden="false" customHeight="true" outlineLevel="0" collapsed="false">
      <c r="B41" s="4" t="s">
        <v>239</v>
      </c>
      <c r="C41" s="4"/>
      <c r="D41" s="4"/>
      <c r="E41" s="4"/>
      <c r="F41" s="4"/>
      <c r="G41" s="4"/>
      <c r="H41" s="4"/>
      <c r="I41" s="4"/>
    </row>
    <row r="42" customFormat="false" ht="27.75" hidden="false" customHeight="true" outlineLevel="0" collapsed="false">
      <c r="B42" s="40" t="s">
        <v>122</v>
      </c>
      <c r="C42" s="40" t="s">
        <v>123</v>
      </c>
      <c r="D42" s="40" t="s">
        <v>124</v>
      </c>
      <c r="E42" s="40" t="s">
        <v>128</v>
      </c>
      <c r="F42" s="40" t="s">
        <v>240</v>
      </c>
      <c r="G42" s="40" t="s">
        <v>241</v>
      </c>
      <c r="H42" s="40" t="s">
        <v>242</v>
      </c>
      <c r="I42" s="40" t="s">
        <v>243</v>
      </c>
      <c r="J42" s="40" t="s">
        <v>244</v>
      </c>
    </row>
    <row r="43" customFormat="false" ht="21.75" hidden="false" customHeight="true" outlineLevel="0" collapsed="false">
      <c r="B43" s="41" t="s">
        <v>131</v>
      </c>
      <c r="C43" s="39" t="str">
        <f aca="false">IFERROR(VLOOKUP(B43,CCN_TABLE,2,FALSE()),"")</f>
        <v>Emergency Vehicle Garage</v>
      </c>
      <c r="D43" s="38" t="str">
        <f aca="false">IFERROR(VLOOKUP(B43,CCN_TABLE,3,FALSE()),"")</f>
        <v>SF</v>
      </c>
      <c r="E43" s="35" t="n">
        <f aca="false">MAX(Inventory!I7*-1,0)</f>
        <v>0</v>
      </c>
      <c r="F43" s="52" t="n">
        <v>425</v>
      </c>
      <c r="G43" s="53" t="n">
        <f aca="false">E43*F43</f>
        <v>0</v>
      </c>
      <c r="H43" s="54" t="n">
        <f aca="false">Okinawa_Navy_ACF</f>
        <v>2.34</v>
      </c>
      <c r="I43" s="54" t="n">
        <f aca="false">SIOH</f>
        <v>1.065</v>
      </c>
      <c r="J43" s="55" t="n">
        <f aca="false">G43*H43*I43*Contingency*Esc_Factor*PD_Factor*HF</f>
        <v>0</v>
      </c>
    </row>
    <row r="44" customFormat="false" ht="21.75" hidden="false" customHeight="true" outlineLevel="0" collapsed="false">
      <c r="B44" s="41" t="s">
        <v>133</v>
      </c>
      <c r="C44" s="39" t="str">
        <f aca="false">IFERROR(VLOOKUP(B44,CCN_TABLE,2,FALSE()),"")</f>
        <v>Operational Vehicle Garage</v>
      </c>
      <c r="D44" s="38" t="str">
        <f aca="false">IFERROR(VLOOKUP(B44,CCN_TABLE,3,FALSE()),"")</f>
        <v>SF</v>
      </c>
      <c r="E44" s="35" t="n">
        <f aca="false">MAX(Inventory!I8*-1,0)</f>
        <v>0</v>
      </c>
      <c r="F44" s="52" t="n">
        <v>425</v>
      </c>
      <c r="G44" s="53" t="n">
        <f aca="false">E44*F44</f>
        <v>0</v>
      </c>
      <c r="H44" s="54" t="n">
        <f aca="false">Okinawa_Navy_ACF</f>
        <v>2.34</v>
      </c>
      <c r="I44" s="54" t="n">
        <f aca="false">SIOH</f>
        <v>1.065</v>
      </c>
      <c r="J44" s="55" t="n">
        <f aca="false">G44*H44*I44*Contingency*Esc_Factor*PD_Factor*HF</f>
        <v>0</v>
      </c>
    </row>
    <row r="45" customFormat="false" ht="21.75" hidden="false" customHeight="true" outlineLevel="0" collapsed="false">
      <c r="B45" s="41" t="s">
        <v>135</v>
      </c>
      <c r="C45" s="39" t="str">
        <f aca="false">IFERROR(VLOOKUP(B45,CCN_TABLE,2,FALSE()),"")</f>
        <v>Operational Vehicle Laydown Area</v>
      </c>
      <c r="D45" s="38" t="str">
        <f aca="false">IFERROR(VLOOKUP(B45,CCN_TABLE,3,FALSE()),"")</f>
        <v>SY</v>
      </c>
      <c r="E45" s="35" t="n">
        <f aca="false">MAX(Inventory!I9*-1,0)</f>
        <v>0</v>
      </c>
      <c r="F45" s="52" t="n">
        <v>110</v>
      </c>
      <c r="G45" s="53" t="n">
        <f aca="false">E45*F45</f>
        <v>0</v>
      </c>
      <c r="H45" s="54" t="n">
        <f aca="false">Okinawa_Navy_ACF</f>
        <v>2.34</v>
      </c>
      <c r="I45" s="54" t="n">
        <f aca="false">SIOH</f>
        <v>1.065</v>
      </c>
      <c r="J45" s="55" t="n">
        <f aca="false">G45*H45*I45*Contingency*Esc_Factor*PD_Factor*HF</f>
        <v>0</v>
      </c>
    </row>
    <row r="46" customFormat="false" ht="21.75" hidden="false" customHeight="true" outlineLevel="0" collapsed="false">
      <c r="B46" s="41" t="s">
        <v>137</v>
      </c>
      <c r="C46" s="39" t="str">
        <f aca="false">IFERROR(VLOOKUP(B46,CCN_TABLE,2,FALSE()),"")</f>
        <v>Marine Corps EOD Facility</v>
      </c>
      <c r="D46" s="38" t="str">
        <f aca="false">IFERROR(VLOOKUP(B46,CCN_TABLE,3,FALSE()),"")</f>
        <v>SF</v>
      </c>
      <c r="E46" s="35" t="n">
        <f aca="false">MAX(Inventory!I10*-1,0)</f>
        <v>7204</v>
      </c>
      <c r="F46" s="52" t="n">
        <v>525</v>
      </c>
      <c r="G46" s="53" t="n">
        <f aca="false">E46*F46</f>
        <v>3782100</v>
      </c>
      <c r="H46" s="54" t="n">
        <f aca="false">Okinawa_Navy_ACF</f>
        <v>2.34</v>
      </c>
      <c r="I46" s="54" t="n">
        <f aca="false">SIOH</f>
        <v>1.065</v>
      </c>
      <c r="J46" s="55" t="n">
        <f aca="false">G46*H46*I46*Contingency*Esc_Factor*PD_Factor*HF</f>
        <v>10787337.578745</v>
      </c>
    </row>
    <row r="47" customFormat="false" ht="21.75" hidden="false" customHeight="true" outlineLevel="0" collapsed="false">
      <c r="B47" s="41" t="s">
        <v>139</v>
      </c>
      <c r="C47" s="39" t="str">
        <f aca="false">IFERROR(VLOOKUP(B47,CCN_TABLE,2,FALSE()),"")</f>
        <v>Armory</v>
      </c>
      <c r="D47" s="38" t="str">
        <f aca="false">IFERROR(VLOOKUP(B47,CCN_TABLE,3,FALSE()),"")</f>
        <v>SF</v>
      </c>
      <c r="E47" s="35" t="n">
        <f aca="false">MAX(Inventory!I11*-1,0)</f>
        <v>0</v>
      </c>
      <c r="F47" s="52" t="n">
        <v>525</v>
      </c>
      <c r="G47" s="53" t="n">
        <f aca="false">E47*F47</f>
        <v>0</v>
      </c>
      <c r="H47" s="54" t="n">
        <f aca="false">Okinawa_Navy_ACF</f>
        <v>2.34</v>
      </c>
      <c r="I47" s="54" t="n">
        <f aca="false">SIOH</f>
        <v>1.065</v>
      </c>
      <c r="J47" s="55" t="n">
        <f aca="false">G47*H47*I47*Contingency*Esc_Factor*PD_Factor*HF</f>
        <v>0</v>
      </c>
    </row>
    <row r="48" customFormat="false" ht="21.75" hidden="false" customHeight="true" outlineLevel="0" collapsed="false">
      <c r="B48" s="41" t="s">
        <v>141</v>
      </c>
      <c r="C48" s="39" t="str">
        <f aca="false">IFERROR(VLOOKUP(B48,CCN_TABLE,2,FALSE()),"")</f>
        <v>Marine Barracks - General Purpose</v>
      </c>
      <c r="D48" s="38" t="str">
        <f aca="false">IFERROR(VLOOKUP(B48,CCN_TABLE,3,FALSE()),"")</f>
        <v>SF</v>
      </c>
      <c r="E48" s="35" t="n">
        <f aca="false">MAX(Inventory!I12*-1,0)</f>
        <v>0</v>
      </c>
      <c r="F48" s="52" t="n">
        <v>380</v>
      </c>
      <c r="G48" s="53" t="n">
        <f aca="false">E48*F48</f>
        <v>0</v>
      </c>
      <c r="H48" s="54" t="n">
        <f aca="false">Okinawa_Navy_ACF</f>
        <v>2.34</v>
      </c>
      <c r="I48" s="54" t="n">
        <f aca="false">SIOH</f>
        <v>1.065</v>
      </c>
      <c r="J48" s="55" t="n">
        <f aca="false">G48*H48*I48*Contingency*Esc_Factor*PD_Factor*HF</f>
        <v>0</v>
      </c>
    </row>
    <row r="49" customFormat="false" ht="21.75" hidden="false" customHeight="true" outlineLevel="0" collapsed="false">
      <c r="B49" s="41" t="s">
        <v>143</v>
      </c>
      <c r="C49" s="39" t="str">
        <f aca="false">IFERROR(VLOOKUP(B49,CCN_TABLE,2,FALSE()),"")</f>
        <v>Academic Instruction Building</v>
      </c>
      <c r="D49" s="38" t="str">
        <f aca="false">IFERROR(VLOOKUP(B49,CCN_TABLE,3,FALSE()),"")</f>
        <v>SF</v>
      </c>
      <c r="E49" s="35" t="n">
        <f aca="false">MAX(Inventory!I13*-1,0)</f>
        <v>0</v>
      </c>
      <c r="F49" s="52" t="n">
        <v>510</v>
      </c>
      <c r="G49" s="53" t="n">
        <f aca="false">E49*F49</f>
        <v>0</v>
      </c>
      <c r="H49" s="54" t="n">
        <f aca="false">Okinawa_Navy_ACF</f>
        <v>2.34</v>
      </c>
      <c r="I49" s="54" t="n">
        <f aca="false">SIOH</f>
        <v>1.065</v>
      </c>
      <c r="J49" s="55" t="n">
        <f aca="false">G49*H49*I49*Contingency*Esc_Factor*PD_Factor*HF</f>
        <v>0</v>
      </c>
    </row>
    <row r="50" customFormat="false" ht="21.75" hidden="false" customHeight="true" outlineLevel="0" collapsed="false">
      <c r="B50" s="41" t="s">
        <v>145</v>
      </c>
      <c r="C50" s="39" t="str">
        <f aca="false">IFERROR(VLOOKUP(B50,CCN_TABLE,2,FALSE()),"")</f>
        <v>Applied Instruction Building</v>
      </c>
      <c r="D50" s="38" t="str">
        <f aca="false">IFERROR(VLOOKUP(B50,CCN_TABLE,3,FALSE()),"")</f>
        <v>SF</v>
      </c>
      <c r="E50" s="35" t="n">
        <f aca="false">MAX(Inventory!I14*-1,0)</f>
        <v>0</v>
      </c>
      <c r="F50" s="52" t="n">
        <v>525</v>
      </c>
      <c r="G50" s="53" t="n">
        <f aca="false">E50*F50</f>
        <v>0</v>
      </c>
      <c r="H50" s="54" t="n">
        <f aca="false">Okinawa_Navy_ACF</f>
        <v>2.34</v>
      </c>
      <c r="I50" s="54" t="n">
        <f aca="false">SIOH</f>
        <v>1.065</v>
      </c>
      <c r="J50" s="55" t="n">
        <f aca="false">G50*H50*I50*Contingency*Esc_Factor*PD_Factor*HF</f>
        <v>0</v>
      </c>
    </row>
    <row r="51" customFormat="false" ht="21.75" hidden="false" customHeight="true" outlineLevel="0" collapsed="false">
      <c r="B51" s="41" t="s">
        <v>147</v>
      </c>
      <c r="C51" s="39" t="str">
        <f aca="false">IFERROR(VLOOKUP(B51,CCN_TABLE,2,FALSE()),"")</f>
        <v>Small Arms Range — Indoor</v>
      </c>
      <c r="D51" s="38" t="str">
        <f aca="false">IFERROR(VLOOKUP(B51,CCN_TABLE,3,FALSE()),"")</f>
        <v>SF</v>
      </c>
      <c r="E51" s="35" t="n">
        <f aca="false">MAX(Inventory!I15*-1,0)</f>
        <v>0</v>
      </c>
      <c r="F51" s="52" t="n">
        <v>700</v>
      </c>
      <c r="G51" s="53" t="n">
        <f aca="false">E51*F51</f>
        <v>0</v>
      </c>
      <c r="H51" s="54" t="n">
        <f aca="false">Okinawa_Navy_ACF</f>
        <v>2.34</v>
      </c>
      <c r="I51" s="54" t="n">
        <f aca="false">SIOH</f>
        <v>1.065</v>
      </c>
      <c r="J51" s="55" t="n">
        <f aca="false">G51*H51*I51*Contingency*Esc_Factor*PD_Factor*HF</f>
        <v>0</v>
      </c>
    </row>
    <row r="52" customFormat="false" ht="21.75" hidden="false" customHeight="true" outlineLevel="0" collapsed="false">
      <c r="B52" s="41" t="s">
        <v>149</v>
      </c>
      <c r="C52" s="39" t="str">
        <f aca="false">IFERROR(VLOOKUP(B52,CCN_TABLE,2,FALSE()),"")</f>
        <v>Range Operations Building</v>
      </c>
      <c r="D52" s="38" t="str">
        <f aca="false">IFERROR(VLOOKUP(B52,CCN_TABLE,3,FALSE()),"")</f>
        <v>SF</v>
      </c>
      <c r="E52" s="35" t="n">
        <f aca="false">MAX(Inventory!I16*-1,0)</f>
        <v>0</v>
      </c>
      <c r="F52" s="52" t="n">
        <v>425</v>
      </c>
      <c r="G52" s="53" t="n">
        <f aca="false">E52*F52</f>
        <v>0</v>
      </c>
      <c r="H52" s="54" t="n">
        <f aca="false">Okinawa_Navy_ACF</f>
        <v>2.34</v>
      </c>
      <c r="I52" s="54" t="n">
        <f aca="false">SIOH</f>
        <v>1.065</v>
      </c>
      <c r="J52" s="55" t="n">
        <f aca="false">G52*H52*I52*Contingency*Esc_Factor*PD_Factor*HF</f>
        <v>0</v>
      </c>
    </row>
    <row r="53" customFormat="false" ht="21.75" hidden="false" customHeight="true" outlineLevel="0" collapsed="false">
      <c r="B53" s="41" t="s">
        <v>151</v>
      </c>
      <c r="C53" s="39" t="str">
        <f aca="false">IFERROR(VLOOKUP(B53,CCN_TABLE,2,FALSE()),"")</f>
        <v>Range Support Building</v>
      </c>
      <c r="D53" s="38" t="str">
        <f aca="false">IFERROR(VLOOKUP(B53,CCN_TABLE,3,FALSE()),"")</f>
        <v>SF</v>
      </c>
      <c r="E53" s="35" t="n">
        <f aca="false">MAX(Inventory!I17*-1,0)</f>
        <v>0</v>
      </c>
      <c r="F53" s="52" t="n">
        <v>425</v>
      </c>
      <c r="G53" s="53" t="n">
        <f aca="false">E53*F53</f>
        <v>0</v>
      </c>
      <c r="H53" s="54" t="n">
        <f aca="false">Okinawa_Navy_ACF</f>
        <v>2.34</v>
      </c>
      <c r="I53" s="54" t="n">
        <f aca="false">SIOH</f>
        <v>1.065</v>
      </c>
      <c r="J53" s="55" t="n">
        <f aca="false">G53*H53*I53*Contingency*Esc_Factor*PD_Factor*HF</f>
        <v>0</v>
      </c>
    </row>
    <row r="54" customFormat="false" ht="21.75" hidden="false" customHeight="true" outlineLevel="0" collapsed="false">
      <c r="B54" s="41" t="s">
        <v>153</v>
      </c>
      <c r="C54" s="39" t="str">
        <f aca="false">IFERROR(VLOOKUP(B54,CCN_TABLE,2,FALSE()),"")</f>
        <v>Parade and Drill Field</v>
      </c>
      <c r="D54" s="38" t="str">
        <f aca="false">IFERROR(VLOOKUP(B54,CCN_TABLE,3,FALSE()),"")</f>
        <v>AC</v>
      </c>
      <c r="E54" s="35" t="n">
        <f aca="false">MAX(Inventory!I18*-1,0)</f>
        <v>2.48</v>
      </c>
      <c r="F54" s="52" t="n">
        <v>5500</v>
      </c>
      <c r="G54" s="53" t="n">
        <f aca="false">E54*F54</f>
        <v>13640</v>
      </c>
      <c r="H54" s="54" t="n">
        <f aca="false">Okinawa_Navy_ACF</f>
        <v>2.34</v>
      </c>
      <c r="I54" s="54" t="n">
        <f aca="false">SIOH</f>
        <v>1.065</v>
      </c>
      <c r="J54" s="55" t="n">
        <f aca="false">G54*H54*I54*Contingency*Esc_Factor*PD_Factor*HF</f>
        <v>38904.123258</v>
      </c>
    </row>
    <row r="55" customFormat="false" ht="21.75" hidden="false" customHeight="true" outlineLevel="0" collapsed="false">
      <c r="B55" s="41" t="s">
        <v>155</v>
      </c>
      <c r="C55" s="39" t="str">
        <f aca="false">IFERROR(VLOOKUP(B55,CCN_TABLE,2,FALSE()),"")</f>
        <v>Confidence Course</v>
      </c>
      <c r="D55" s="38" t="str">
        <f aca="false">IFERROR(VLOOKUP(B55,CCN_TABLE,3,FALSE()),"")</f>
        <v>AC</v>
      </c>
      <c r="E55" s="35" t="n">
        <f aca="false">MAX(Inventory!I19*-1,0)</f>
        <v>0</v>
      </c>
      <c r="F55" s="52" t="n">
        <v>250000</v>
      </c>
      <c r="G55" s="53" t="n">
        <f aca="false">E55*F55</f>
        <v>0</v>
      </c>
      <c r="H55" s="54" t="n">
        <f aca="false">Okinawa_Navy_ACF</f>
        <v>2.34</v>
      </c>
      <c r="I55" s="54" t="n">
        <f aca="false">SIOH</f>
        <v>1.065</v>
      </c>
      <c r="J55" s="55" t="n">
        <f aca="false">G55*H55*I55*Contingency*Esc_Factor*PD_Factor*HF</f>
        <v>0</v>
      </c>
    </row>
    <row r="56" customFormat="false" ht="21.75" hidden="false" customHeight="true" outlineLevel="0" collapsed="false">
      <c r="B56" s="41" t="s">
        <v>157</v>
      </c>
      <c r="C56" s="39" t="str">
        <f aca="false">IFERROR(VLOOKUP(B56,CCN_TABLE,2,FALSE()),"")</f>
        <v>Obstacle Course</v>
      </c>
      <c r="D56" s="38" t="str">
        <f aca="false">IFERROR(VLOOKUP(B56,CCN_TABLE,3,FALSE()),"")</f>
        <v>AC</v>
      </c>
      <c r="E56" s="35" t="n">
        <f aca="false">MAX(Inventory!I20*-1,0)</f>
        <v>0</v>
      </c>
      <c r="F56" s="52" t="n">
        <v>175000</v>
      </c>
      <c r="G56" s="53" t="n">
        <f aca="false">E56*F56</f>
        <v>0</v>
      </c>
      <c r="H56" s="54" t="n">
        <f aca="false">Okinawa_Navy_ACF</f>
        <v>2.34</v>
      </c>
      <c r="I56" s="54" t="n">
        <f aca="false">SIOH</f>
        <v>1.065</v>
      </c>
      <c r="J56" s="55" t="n">
        <f aca="false">G56*H56*I56*Contingency*Esc_Factor*PD_Factor*HF</f>
        <v>0</v>
      </c>
    </row>
    <row r="57" customFormat="false" ht="15" hidden="false" customHeight="true" outlineLevel="0" collapsed="false">
      <c r="B57" s="36" t="s">
        <v>245</v>
      </c>
      <c r="C57" s="36"/>
      <c r="D57" s="36"/>
      <c r="E57" s="36"/>
      <c r="F57" s="36"/>
      <c r="G57" s="36"/>
      <c r="H57" s="36"/>
      <c r="I57" s="36"/>
      <c r="J57" s="55" t="n">
        <f aca="false">SUM(J43:J56)</f>
        <v>10826241.702003</v>
      </c>
    </row>
    <row r="60" customFormat="false" ht="21.75" hidden="false" customHeight="true" outlineLevel="0" collapsed="false">
      <c r="B60" s="4" t="s">
        <v>246</v>
      </c>
      <c r="C60" s="4"/>
      <c r="D60" s="4"/>
      <c r="E60" s="4"/>
      <c r="F60" s="4"/>
      <c r="G60" s="4"/>
      <c r="H60" s="4"/>
      <c r="I60" s="4"/>
    </row>
    <row r="61" customFormat="false" ht="15" hidden="false" customHeight="true" outlineLevel="0" collapsed="false">
      <c r="B61" s="56" t="str">
        <f aca="false">("This Basic Facility Requirement supports "&amp;TENANT_UNIT&amp;" at "&amp;INSTALLATION&amp;" under COMMARCORBASESJAPAN (MCBJ / MCIPAC). Total personnel loading is "&amp;TEXT(PN_TOTAL,"#,##0")&amp;" PN ("&amp;TEXT(PN_MIL,"#,##0")&amp;" military). Requirements are computed in accordance with FC 2-000-05N Series 100. Existing assets per iNFADS have been compared against the required allowance to identify deficits; programmed cost reflects the Okinawa MILCON Area Cost Factor of "&amp;TEXT(Okinawa_Navy_ACF,"0.00")&amp;" per UFS 3-701-01 Table 4-1. ATFP (UFC 4-010-01), seismic design (Okinawa moderate seismic / typhoon Vult ≈170 mph), and host-nation siting requirements have been reviewed in the Okinawa_Adj checklist. Submission supports DD Form 1391 No. "&amp;DD1391&amp;" for FY"&amp;TEXT(PROG_FY,"0")&amp;".")</f>
        <v>This Basic Facility Requirement supports CLB-4 (UIC M29110) at Camp Foster, Okinawa, JP under COMMARCORBASESJAPAN (MCBJ / MCIPAC). Total personnel loading is 310 PN (307 military). Requirements are computed in accordance with FC 2-000-05N Series 100. Existing assets per iNFADS have been compared against the required allowance to identify deficits; programmed cost reflects the Okinawa MILCON Area Cost Factor of 2.34 per UFS 3-701-01 Table 4-1. ATFP (UFC 4-010-01), seismic design (Okinawa moderate seismic / typhoon Vult ≈170 mph), and host-nation siting requirements have been reviewed in the Okinawa_Adj checklist. Submission supports DD Form 1391 No.  for FY0.</v>
      </c>
      <c r="C61" s="56"/>
      <c r="D61" s="56"/>
      <c r="E61" s="56"/>
      <c r="F61" s="56"/>
      <c r="G61" s="56"/>
      <c r="H61" s="56"/>
      <c r="I61" s="56"/>
    </row>
    <row r="62" customFormat="false" ht="15" hidden="false" customHeight="true" outlineLevel="0" collapsed="false">
      <c r="B62" s="56"/>
      <c r="C62" s="56"/>
      <c r="D62" s="56"/>
      <c r="E62" s="56"/>
      <c r="F62" s="56"/>
      <c r="G62" s="56"/>
      <c r="H62" s="56"/>
      <c r="I62" s="56"/>
    </row>
    <row r="63" customFormat="false" ht="15" hidden="false" customHeight="true" outlineLevel="0" collapsed="false">
      <c r="B63" s="56"/>
      <c r="C63" s="56"/>
      <c r="D63" s="56"/>
      <c r="E63" s="56"/>
      <c r="F63" s="56"/>
      <c r="G63" s="56"/>
      <c r="H63" s="56"/>
      <c r="I63" s="56"/>
    </row>
    <row r="64" customFormat="false" ht="15" hidden="false" customHeight="true" outlineLevel="0" collapsed="false">
      <c r="B64" s="56"/>
      <c r="C64" s="56"/>
      <c r="D64" s="56"/>
      <c r="E64" s="56"/>
      <c r="F64" s="56"/>
      <c r="G64" s="56"/>
      <c r="H64" s="56"/>
      <c r="I64" s="56"/>
    </row>
    <row r="65" customFormat="false" ht="15" hidden="false" customHeight="true" outlineLevel="0" collapsed="false">
      <c r="B65" s="56"/>
      <c r="C65" s="56"/>
      <c r="D65" s="56"/>
      <c r="E65" s="56"/>
      <c r="F65" s="56"/>
      <c r="G65" s="56"/>
      <c r="H65" s="56"/>
      <c r="I65" s="56"/>
    </row>
    <row r="66" customFormat="false" ht="15" hidden="false" customHeight="true" outlineLevel="0" collapsed="false">
      <c r="B66" s="56"/>
      <c r="C66" s="56"/>
      <c r="D66" s="56"/>
      <c r="E66" s="56"/>
      <c r="F66" s="56"/>
      <c r="G66" s="56"/>
      <c r="H66" s="56"/>
      <c r="I66" s="56"/>
    </row>
    <row r="67" customFormat="false" ht="15" hidden="false" customHeight="true" outlineLevel="0" collapsed="false">
      <c r="B67" s="56"/>
      <c r="C67" s="56"/>
      <c r="D67" s="56"/>
      <c r="E67" s="56"/>
      <c r="F67" s="56"/>
      <c r="G67" s="56"/>
      <c r="H67" s="56"/>
      <c r="I67" s="56"/>
    </row>
    <row r="68" customFormat="false" ht="15" hidden="false" customHeight="true" outlineLevel="0" collapsed="false">
      <c r="B68" s="56"/>
      <c r="C68" s="56"/>
      <c r="D68" s="56"/>
      <c r="E68" s="56"/>
      <c r="F68" s="56"/>
      <c r="G68" s="56"/>
      <c r="H68" s="56"/>
      <c r="I68" s="56"/>
    </row>
    <row r="70" customFormat="false" ht="21.75" hidden="false" customHeight="true" outlineLevel="0" collapsed="false">
      <c r="B70" s="4" t="s">
        <v>247</v>
      </c>
      <c r="C70" s="4"/>
      <c r="D70" s="4"/>
      <c r="E70" s="4"/>
      <c r="F70" s="4"/>
      <c r="G70" s="4"/>
      <c r="H70" s="4"/>
      <c r="I70" s="4"/>
    </row>
    <row r="71" customFormat="false" ht="27.75" hidden="false" customHeight="true" outlineLevel="0" collapsed="false">
      <c r="B71" s="33" t="s">
        <v>248</v>
      </c>
      <c r="C71" s="33" t="s">
        <v>249</v>
      </c>
      <c r="D71" s="33"/>
      <c r="E71" s="33"/>
      <c r="F71" s="33" t="s">
        <v>250</v>
      </c>
      <c r="G71" s="33"/>
      <c r="H71" s="33"/>
      <c r="I71" s="33" t="s">
        <v>251</v>
      </c>
    </row>
    <row r="72" customFormat="false" ht="27.75" hidden="false" customHeight="true" outlineLevel="0" collapsed="false">
      <c r="B72" s="5" t="s">
        <v>252</v>
      </c>
      <c r="C72" s="25"/>
      <c r="D72" s="25"/>
      <c r="E72" s="25"/>
      <c r="F72" s="25"/>
      <c r="G72" s="25"/>
      <c r="H72" s="25"/>
      <c r="I72" s="25"/>
    </row>
    <row r="73" customFormat="false" ht="27.75" hidden="false" customHeight="true" outlineLevel="0" collapsed="false">
      <c r="B73" s="5" t="s">
        <v>253</v>
      </c>
      <c r="C73" s="25"/>
      <c r="D73" s="25"/>
      <c r="E73" s="25"/>
      <c r="F73" s="25"/>
      <c r="G73" s="25"/>
      <c r="H73" s="25"/>
      <c r="I73" s="25"/>
    </row>
    <row r="74" customFormat="false" ht="27.75" hidden="false" customHeight="true" outlineLevel="0" collapsed="false">
      <c r="B74" s="5" t="s">
        <v>254</v>
      </c>
      <c r="C74" s="25"/>
      <c r="D74" s="25"/>
      <c r="E74" s="25"/>
      <c r="F74" s="25"/>
      <c r="G74" s="25"/>
      <c r="H74" s="25"/>
      <c r="I74" s="25"/>
    </row>
    <row r="75" customFormat="false" ht="27.75" hidden="false" customHeight="true" outlineLevel="0" collapsed="false">
      <c r="B75" s="5" t="s">
        <v>255</v>
      </c>
      <c r="C75" s="25"/>
      <c r="D75" s="25"/>
      <c r="E75" s="25"/>
      <c r="F75" s="25"/>
      <c r="G75" s="25"/>
      <c r="H75" s="25"/>
      <c r="I75" s="25"/>
    </row>
  </sheetData>
  <mergeCells count="36">
    <mergeCell ref="B2:I2"/>
    <mergeCell ref="B3:I3"/>
    <mergeCell ref="B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B17:I17"/>
    <mergeCell ref="C18:E18"/>
    <mergeCell ref="G18:I18"/>
    <mergeCell ref="C19:E19"/>
    <mergeCell ref="G19:I19"/>
    <mergeCell ref="C20:E20"/>
    <mergeCell ref="G20:I20"/>
    <mergeCell ref="B23:I23"/>
    <mergeCell ref="B41:I41"/>
    <mergeCell ref="B57:I57"/>
    <mergeCell ref="B60:I60"/>
    <mergeCell ref="B61:I68"/>
    <mergeCell ref="B70:I70"/>
    <mergeCell ref="C71:E71"/>
    <mergeCell ref="F71:H71"/>
    <mergeCell ref="C72:E72"/>
    <mergeCell ref="F72:H72"/>
    <mergeCell ref="C73:E73"/>
    <mergeCell ref="F73:H73"/>
    <mergeCell ref="C74:E74"/>
    <mergeCell ref="F74:H74"/>
    <mergeCell ref="C75:E75"/>
    <mergeCell ref="F75:H7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10"/>
    <col collapsed="false" customWidth="true" hidden="false" outlineLevel="0" max="4" min="4" style="1" width="42"/>
    <col collapsed="false" customWidth="true" hidden="false" outlineLevel="0" max="5" min="5" style="1" width="8"/>
    <col collapsed="false" customWidth="true" hidden="false" outlineLevel="0" max="6" min="6" style="1" width="18"/>
    <col collapsed="false" customWidth="true" hidden="false" outlineLevel="0" max="7" min="7" style="1" width="50"/>
    <col collapsed="false" customWidth="true" hidden="false" outlineLevel="0" max="8" min="8" style="1" width="12"/>
    <col collapsed="false" customWidth="true" hidden="false" outlineLevel="0" max="9" min="9" style="1" width="40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" t="s">
        <v>256</v>
      </c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B3" s="3" t="s">
        <v>257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C5" s="40" t="s">
        <v>122</v>
      </c>
      <c r="D5" s="40" t="s">
        <v>123</v>
      </c>
      <c r="E5" s="40" t="s">
        <v>124</v>
      </c>
      <c r="F5" s="40" t="s">
        <v>258</v>
      </c>
      <c r="G5" s="40" t="s">
        <v>259</v>
      </c>
      <c r="H5" s="40" t="s">
        <v>127</v>
      </c>
      <c r="I5" s="40" t="s">
        <v>260</v>
      </c>
    </row>
    <row r="6" customFormat="false" ht="27.75" hidden="false" customHeight="true" outlineLevel="0" collapsed="false">
      <c r="C6" s="57" t="s">
        <v>261</v>
      </c>
      <c r="D6" s="58" t="s">
        <v>262</v>
      </c>
      <c r="E6" s="59" t="s">
        <v>263</v>
      </c>
      <c r="F6" s="60" t="n">
        <v>2956</v>
      </c>
      <c r="G6" s="58" t="s">
        <v>264</v>
      </c>
      <c r="H6" s="61" t="n">
        <v>1.1</v>
      </c>
      <c r="I6" s="58" t="s">
        <v>265</v>
      </c>
    </row>
    <row r="7" customFormat="false" ht="27.75" hidden="false" customHeight="true" outlineLevel="0" collapsed="false">
      <c r="C7" s="41" t="s">
        <v>131</v>
      </c>
      <c r="D7" s="62" t="s">
        <v>266</v>
      </c>
      <c r="E7" s="63" t="s">
        <v>263</v>
      </c>
      <c r="F7" s="64" t="s">
        <v>267</v>
      </c>
      <c r="G7" s="62" t="s">
        <v>268</v>
      </c>
      <c r="H7" s="65" t="n">
        <v>1.05</v>
      </c>
      <c r="I7" s="62" t="s">
        <v>269</v>
      </c>
    </row>
    <row r="8" customFormat="false" ht="27.75" hidden="false" customHeight="true" outlineLevel="0" collapsed="false">
      <c r="C8" s="57" t="s">
        <v>133</v>
      </c>
      <c r="D8" s="58" t="s">
        <v>270</v>
      </c>
      <c r="E8" s="59" t="s">
        <v>263</v>
      </c>
      <c r="F8" s="66" t="s">
        <v>267</v>
      </c>
      <c r="G8" s="58" t="s">
        <v>271</v>
      </c>
      <c r="H8" s="61" t="n">
        <v>1.2</v>
      </c>
      <c r="I8" s="58" t="s">
        <v>272</v>
      </c>
    </row>
    <row r="9" customFormat="false" ht="27.75" hidden="false" customHeight="true" outlineLevel="0" collapsed="false">
      <c r="C9" s="41" t="s">
        <v>135</v>
      </c>
      <c r="D9" s="62" t="s">
        <v>273</v>
      </c>
      <c r="E9" s="63" t="s">
        <v>274</v>
      </c>
      <c r="F9" s="64" t="s">
        <v>267</v>
      </c>
      <c r="G9" s="62" t="s">
        <v>275</v>
      </c>
      <c r="H9" s="65" t="n">
        <v>1</v>
      </c>
      <c r="I9" s="62" t="s">
        <v>272</v>
      </c>
    </row>
    <row r="10" customFormat="false" ht="27.75" hidden="false" customHeight="true" outlineLevel="0" collapsed="false">
      <c r="C10" s="57" t="s">
        <v>276</v>
      </c>
      <c r="D10" s="58" t="s">
        <v>277</v>
      </c>
      <c r="E10" s="59" t="s">
        <v>263</v>
      </c>
      <c r="F10" s="66" t="s">
        <v>267</v>
      </c>
      <c r="G10" s="58" t="s">
        <v>278</v>
      </c>
      <c r="H10" s="61" t="n">
        <v>1</v>
      </c>
      <c r="I10" s="58" t="s">
        <v>269</v>
      </c>
    </row>
    <row r="11" customFormat="false" ht="27.75" hidden="false" customHeight="true" outlineLevel="0" collapsed="false">
      <c r="C11" s="41" t="s">
        <v>137</v>
      </c>
      <c r="D11" s="62" t="s">
        <v>279</v>
      </c>
      <c r="E11" s="63" t="s">
        <v>263</v>
      </c>
      <c r="F11" s="67" t="n">
        <v>7000</v>
      </c>
      <c r="G11" s="62" t="s">
        <v>280</v>
      </c>
      <c r="H11" s="65" t="n">
        <v>1</v>
      </c>
      <c r="I11" s="62" t="s">
        <v>281</v>
      </c>
    </row>
    <row r="12" customFormat="false" ht="27.75" hidden="false" customHeight="true" outlineLevel="0" collapsed="false">
      <c r="C12" s="57" t="s">
        <v>282</v>
      </c>
      <c r="D12" s="58" t="s">
        <v>283</v>
      </c>
      <c r="E12" s="59" t="s">
        <v>263</v>
      </c>
      <c r="F12" s="66" t="s">
        <v>267</v>
      </c>
      <c r="G12" s="58" t="s">
        <v>284</v>
      </c>
      <c r="H12" s="61" t="n">
        <v>1.4</v>
      </c>
      <c r="I12" s="58" t="s">
        <v>285</v>
      </c>
    </row>
    <row r="13" customFormat="false" ht="27.75" hidden="false" customHeight="true" outlineLevel="0" collapsed="false">
      <c r="C13" s="41" t="s">
        <v>139</v>
      </c>
      <c r="D13" s="62" t="s">
        <v>286</v>
      </c>
      <c r="E13" s="63" t="s">
        <v>263</v>
      </c>
      <c r="F13" s="64" t="s">
        <v>267</v>
      </c>
      <c r="G13" s="62" t="s">
        <v>287</v>
      </c>
      <c r="H13" s="65" t="n">
        <v>1</v>
      </c>
      <c r="I13" s="62" t="s">
        <v>288</v>
      </c>
    </row>
    <row r="14" customFormat="false" ht="27.75" hidden="false" customHeight="true" outlineLevel="0" collapsed="false">
      <c r="C14" s="57" t="s">
        <v>141</v>
      </c>
      <c r="D14" s="58" t="s">
        <v>289</v>
      </c>
      <c r="E14" s="59" t="s">
        <v>263</v>
      </c>
      <c r="F14" s="66" t="s">
        <v>267</v>
      </c>
      <c r="G14" s="58" t="s">
        <v>290</v>
      </c>
      <c r="H14" s="61" t="n">
        <v>1</v>
      </c>
      <c r="I14" s="58" t="s">
        <v>291</v>
      </c>
    </row>
    <row r="15" customFormat="false" ht="27.75" hidden="false" customHeight="true" outlineLevel="0" collapsed="false">
      <c r="C15" s="41" t="s">
        <v>292</v>
      </c>
      <c r="D15" s="62" t="s">
        <v>293</v>
      </c>
      <c r="E15" s="63" t="s">
        <v>263</v>
      </c>
      <c r="F15" s="64" t="s">
        <v>267</v>
      </c>
      <c r="G15" s="62" t="s">
        <v>294</v>
      </c>
      <c r="H15" s="65" t="n">
        <v>1</v>
      </c>
      <c r="I15" s="62" t="s">
        <v>295</v>
      </c>
    </row>
    <row r="16" customFormat="false" ht="27.75" hidden="false" customHeight="true" outlineLevel="0" collapsed="false">
      <c r="C16" s="57" t="s">
        <v>143</v>
      </c>
      <c r="D16" s="58" t="s">
        <v>296</v>
      </c>
      <c r="E16" s="59" t="s">
        <v>263</v>
      </c>
      <c r="F16" s="60" t="n">
        <v>45</v>
      </c>
      <c r="G16" s="58" t="s">
        <v>297</v>
      </c>
      <c r="H16" s="61" t="n">
        <v>1.33</v>
      </c>
      <c r="I16" s="58" t="s">
        <v>298</v>
      </c>
    </row>
    <row r="17" customFormat="false" ht="27.75" hidden="false" customHeight="true" outlineLevel="0" collapsed="false">
      <c r="C17" s="41" t="s">
        <v>299</v>
      </c>
      <c r="D17" s="62" t="s">
        <v>300</v>
      </c>
      <c r="E17" s="63" t="s">
        <v>263</v>
      </c>
      <c r="F17" s="64" t="s">
        <v>267</v>
      </c>
      <c r="G17" s="62" t="s">
        <v>301</v>
      </c>
      <c r="H17" s="65" t="n">
        <v>1.3</v>
      </c>
      <c r="I17" s="62" t="s">
        <v>302</v>
      </c>
    </row>
    <row r="18" customFormat="false" ht="27.75" hidden="false" customHeight="true" outlineLevel="0" collapsed="false">
      <c r="C18" s="57" t="s">
        <v>145</v>
      </c>
      <c r="D18" s="58" t="s">
        <v>303</v>
      </c>
      <c r="E18" s="59" t="s">
        <v>263</v>
      </c>
      <c r="F18" s="60" t="n">
        <v>150</v>
      </c>
      <c r="G18" s="58" t="s">
        <v>304</v>
      </c>
      <c r="H18" s="61" t="n">
        <v>1.25</v>
      </c>
      <c r="I18" s="58" t="s">
        <v>298</v>
      </c>
    </row>
    <row r="19" customFormat="false" ht="27.75" hidden="false" customHeight="true" outlineLevel="0" collapsed="false">
      <c r="C19" s="41" t="s">
        <v>305</v>
      </c>
      <c r="D19" s="62" t="s">
        <v>306</v>
      </c>
      <c r="E19" s="63" t="s">
        <v>263</v>
      </c>
      <c r="F19" s="64" t="s">
        <v>267</v>
      </c>
      <c r="G19" s="62" t="s">
        <v>307</v>
      </c>
      <c r="H19" s="65" t="n">
        <v>1</v>
      </c>
      <c r="I19" s="62" t="s">
        <v>308</v>
      </c>
    </row>
    <row r="20" customFormat="false" ht="27.75" hidden="false" customHeight="true" outlineLevel="0" collapsed="false">
      <c r="C20" s="57" t="s">
        <v>147</v>
      </c>
      <c r="D20" s="58" t="s">
        <v>309</v>
      </c>
      <c r="E20" s="59" t="s">
        <v>263</v>
      </c>
      <c r="F20" s="66" t="s">
        <v>267</v>
      </c>
      <c r="G20" s="58" t="s">
        <v>310</v>
      </c>
      <c r="H20" s="61" t="n">
        <v>1</v>
      </c>
      <c r="I20" s="58" t="s">
        <v>311</v>
      </c>
    </row>
    <row r="21" customFormat="false" ht="27.75" hidden="false" customHeight="true" outlineLevel="0" collapsed="false">
      <c r="C21" s="41" t="s">
        <v>149</v>
      </c>
      <c r="D21" s="62" t="s">
        <v>312</v>
      </c>
      <c r="E21" s="63" t="s">
        <v>263</v>
      </c>
      <c r="F21" s="64" t="s">
        <v>267</v>
      </c>
      <c r="G21" s="62" t="s">
        <v>313</v>
      </c>
      <c r="H21" s="65" t="n">
        <v>1</v>
      </c>
      <c r="I21" s="62" t="s">
        <v>308</v>
      </c>
    </row>
    <row r="22" customFormat="false" ht="27.75" hidden="false" customHeight="true" outlineLevel="0" collapsed="false">
      <c r="C22" s="57" t="s">
        <v>151</v>
      </c>
      <c r="D22" s="58" t="s">
        <v>314</v>
      </c>
      <c r="E22" s="59" t="s">
        <v>263</v>
      </c>
      <c r="F22" s="66" t="s">
        <v>267</v>
      </c>
      <c r="G22" s="58" t="s">
        <v>315</v>
      </c>
      <c r="H22" s="61" t="n">
        <v>1</v>
      </c>
      <c r="I22" s="58" t="s">
        <v>308</v>
      </c>
    </row>
    <row r="23" customFormat="false" ht="27.75" hidden="false" customHeight="true" outlineLevel="0" collapsed="false">
      <c r="C23" s="41" t="s">
        <v>316</v>
      </c>
      <c r="D23" s="62" t="s">
        <v>317</v>
      </c>
      <c r="E23" s="63" t="s">
        <v>318</v>
      </c>
      <c r="F23" s="67" t="n">
        <v>1</v>
      </c>
      <c r="G23" s="62" t="s">
        <v>319</v>
      </c>
      <c r="H23" s="65" t="n">
        <v>1</v>
      </c>
      <c r="I23" s="62" t="s">
        <v>320</v>
      </c>
    </row>
    <row r="24" customFormat="false" ht="27.75" hidden="false" customHeight="true" outlineLevel="0" collapsed="false">
      <c r="C24" s="57" t="s">
        <v>321</v>
      </c>
      <c r="D24" s="58" t="s">
        <v>322</v>
      </c>
      <c r="E24" s="59" t="s">
        <v>318</v>
      </c>
      <c r="F24" s="60" t="n">
        <v>1</v>
      </c>
      <c r="G24" s="58" t="s">
        <v>323</v>
      </c>
      <c r="H24" s="61" t="n">
        <v>1</v>
      </c>
      <c r="I24" s="58" t="s">
        <v>324</v>
      </c>
    </row>
    <row r="25" customFormat="false" ht="27.75" hidden="false" customHeight="true" outlineLevel="0" collapsed="false">
      <c r="C25" s="41" t="s">
        <v>153</v>
      </c>
      <c r="D25" s="62" t="s">
        <v>325</v>
      </c>
      <c r="E25" s="63" t="s">
        <v>326</v>
      </c>
      <c r="F25" s="64" t="s">
        <v>267</v>
      </c>
      <c r="G25" s="62" t="s">
        <v>327</v>
      </c>
      <c r="H25" s="65" t="n">
        <v>1</v>
      </c>
      <c r="I25" s="62" t="s">
        <v>328</v>
      </c>
    </row>
    <row r="26" customFormat="false" ht="27.75" hidden="false" customHeight="true" outlineLevel="0" collapsed="false">
      <c r="C26" s="57" t="s">
        <v>329</v>
      </c>
      <c r="D26" s="58" t="s">
        <v>330</v>
      </c>
      <c r="E26" s="59" t="s">
        <v>326</v>
      </c>
      <c r="F26" s="66" t="s">
        <v>267</v>
      </c>
      <c r="G26" s="58" t="s">
        <v>331</v>
      </c>
      <c r="H26" s="61" t="n">
        <v>1</v>
      </c>
      <c r="I26" s="58" t="s">
        <v>332</v>
      </c>
    </row>
    <row r="27" customFormat="false" ht="27.75" hidden="false" customHeight="true" outlineLevel="0" collapsed="false">
      <c r="C27" s="41" t="s">
        <v>155</v>
      </c>
      <c r="D27" s="62" t="s">
        <v>333</v>
      </c>
      <c r="E27" s="63" t="s">
        <v>326</v>
      </c>
      <c r="F27" s="67" t="n">
        <v>1</v>
      </c>
      <c r="G27" s="62" t="s">
        <v>334</v>
      </c>
      <c r="H27" s="65" t="n">
        <v>1</v>
      </c>
      <c r="I27" s="62" t="s">
        <v>335</v>
      </c>
    </row>
    <row r="28" customFormat="false" ht="27.75" hidden="false" customHeight="true" outlineLevel="0" collapsed="false">
      <c r="C28" s="57" t="s">
        <v>157</v>
      </c>
      <c r="D28" s="58" t="s">
        <v>336</v>
      </c>
      <c r="E28" s="59" t="s">
        <v>326</v>
      </c>
      <c r="F28" s="66" t="s">
        <v>267</v>
      </c>
      <c r="G28" s="58" t="s">
        <v>337</v>
      </c>
      <c r="H28" s="61" t="n">
        <v>1</v>
      </c>
      <c r="I28" s="58" t="s">
        <v>335</v>
      </c>
    </row>
    <row r="31" customFormat="false" ht="21.75" hidden="false" customHeight="true" outlineLevel="0" collapsed="false">
      <c r="B31" s="4" t="s">
        <v>338</v>
      </c>
      <c r="C31" s="4"/>
      <c r="D31" s="4"/>
      <c r="E31" s="4"/>
      <c r="F31" s="4"/>
      <c r="G31" s="4"/>
      <c r="H31" s="4"/>
      <c r="I31" s="4"/>
    </row>
    <row r="32" customFormat="false" ht="41.25" hidden="false" customHeight="true" outlineLevel="0" collapsed="false">
      <c r="C32" s="33" t="s">
        <v>160</v>
      </c>
      <c r="D32" s="33" t="s">
        <v>161</v>
      </c>
      <c r="E32" s="33" t="s">
        <v>339</v>
      </c>
      <c r="F32" s="33" t="s">
        <v>340</v>
      </c>
    </row>
    <row r="33" customFormat="false" ht="15" hidden="false" customHeight="true" outlineLevel="0" collapsed="false">
      <c r="C33" s="44" t="s">
        <v>167</v>
      </c>
      <c r="D33" s="45" t="s">
        <v>168</v>
      </c>
      <c r="E33" s="46" t="n">
        <v>108</v>
      </c>
      <c r="F33" s="46" t="n">
        <v>19</v>
      </c>
    </row>
    <row r="34" customFormat="false" ht="15" hidden="false" customHeight="true" outlineLevel="0" collapsed="false">
      <c r="C34" s="44" t="s">
        <v>169</v>
      </c>
      <c r="D34" s="45" t="s">
        <v>170</v>
      </c>
      <c r="E34" s="46" t="n">
        <v>180</v>
      </c>
      <c r="F34" s="46" t="n">
        <v>29</v>
      </c>
    </row>
    <row r="35" customFormat="false" ht="15" hidden="false" customHeight="true" outlineLevel="0" collapsed="false">
      <c r="C35" s="44" t="s">
        <v>171</v>
      </c>
      <c r="D35" s="45" t="s">
        <v>172</v>
      </c>
      <c r="E35" s="46" t="n">
        <v>288</v>
      </c>
      <c r="F35" s="46" t="n">
        <v>42</v>
      </c>
    </row>
    <row r="36" customFormat="false" ht="15" hidden="false" customHeight="true" outlineLevel="0" collapsed="false">
      <c r="C36" s="44" t="s">
        <v>173</v>
      </c>
      <c r="D36" s="45" t="s">
        <v>174</v>
      </c>
      <c r="E36" s="46" t="n">
        <v>420</v>
      </c>
      <c r="F36" s="46" t="n">
        <v>57</v>
      </c>
    </row>
    <row r="37" customFormat="false" ht="15" hidden="false" customHeight="true" outlineLevel="0" collapsed="false">
      <c r="C37" s="44" t="s">
        <v>175</v>
      </c>
      <c r="D37" s="45" t="s">
        <v>176</v>
      </c>
      <c r="E37" s="46" t="n">
        <v>588</v>
      </c>
      <c r="F37" s="46" t="n">
        <v>71</v>
      </c>
    </row>
    <row r="38" customFormat="false" ht="15" hidden="false" customHeight="true" outlineLevel="0" collapsed="false">
      <c r="C38" s="44" t="s">
        <v>177</v>
      </c>
      <c r="D38" s="45" t="s">
        <v>178</v>
      </c>
      <c r="E38" s="46" t="n">
        <v>720</v>
      </c>
      <c r="F38" s="46" t="n">
        <v>85</v>
      </c>
    </row>
    <row r="39" customFormat="false" ht="15" hidden="false" customHeight="true" outlineLevel="0" collapsed="false">
      <c r="C39" s="44" t="s">
        <v>179</v>
      </c>
      <c r="D39" s="45" t="s">
        <v>180</v>
      </c>
      <c r="E39" s="46" t="n">
        <v>888</v>
      </c>
      <c r="F39" s="46" t="n">
        <v>99</v>
      </c>
    </row>
  </sheetData>
  <mergeCells count="3">
    <mergeCell ref="B2:I2"/>
    <mergeCell ref="B3:I3"/>
    <mergeCell ref="B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2026-04-28T08:15:37Z</dcterms:created>
  <dc:creator>openpyxl</dc:creator>
  <dc:description/>
  <dc:language>en-US</dc:language>
  <cp:lastModifiedBy/>
  <dcterms:modified xsi:type="dcterms:W3CDTF">2026-04-28T08:22:57Z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