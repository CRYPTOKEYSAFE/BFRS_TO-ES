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ROLLUP" sheetId="1" state="visible" r:id="rId1"/>
    <sheet name="TO" sheetId="2" state="visible" r:id="rId2"/>
    <sheet name="TE" sheetId="3" state="visible" r:id="rId3"/>
    <sheet name="14345" sheetId="4" state="visible" r:id="rId4"/>
    <sheet name="21451" sheetId="5" state="visible" r:id="rId5"/>
    <sheet name="21455" sheetId="6" state="visible" r:id="rId6"/>
    <sheet name="61072" sheetId="7" state="visible" r:id="rId7"/>
    <sheet name="14312" sheetId="8" state="visible" r:id="rId8"/>
    <sheet name="14326" sheetId="9" state="visible" r:id="rId9"/>
    <sheet name="21710" sheetId="10" state="visible" r:id="rId10"/>
    <sheet name="21730" sheetId="11" state="visible" r:id="rId11"/>
    <sheet name="44112" sheetId="12" state="visible" r:id="rId12"/>
    <sheet name="45110" sheetId="13" state="visible" r:id="rId13"/>
    <sheet name="53010" sheetId="14" state="visible" r:id="rId14"/>
    <sheet name="85210" sheetId="15" state="visible" r:id="rId15"/>
    <sheet name="85122" sheetId="16" state="visible" r:id="rId16"/>
    <sheet name="85121" sheetId="17" state="visible" r:id="rId17"/>
    <sheet name="87210" sheetId="18" state="visible" r:id="rId18"/>
    <sheet name="87250" sheetId="19" state="visible" r:id="rId19"/>
    <sheet name="87230" sheetId="20" state="visible" r:id="rId20"/>
    <sheet name="83143" sheetId="21" state="visible" r:id="rId21"/>
    <sheet name="83141" sheetId="22" state="visible" r:id="rId22"/>
    <sheet name="81160" sheetId="23" state="visible" r:id="rId23"/>
    <sheet name="88010" sheetId="24" state="visible" r:id="rId24"/>
    <sheet name="85235" sheetId="25" state="visible" r:id="rId25"/>
    <sheet name="85240" sheetId="26" state="visible" r:id="rId26"/>
  </sheets>
  <definedNames>
    <definedName name="_xlnm.Print_Area" localSheetId="3">'14345'!$A$1:$AF$37</definedName>
    <definedName name="_xlnm.Print_Area" localSheetId="4">'21451'!$A$1:$AF$37</definedName>
    <definedName name="_xlnm.Print_Area" localSheetId="5">'21455'!$A$1:$AF$37</definedName>
    <definedName name="_xlnm.Print_Area" localSheetId="6">'61072'!$A$1:$AF$37</definedName>
    <definedName name="_xlnm.Print_Area" localSheetId="7">'14312'!$A$1:$AF$37</definedName>
    <definedName name="_xlnm.Print_Area" localSheetId="8">'14326'!$A$1:$AF$37</definedName>
    <definedName name="_xlnm.Print_Area" localSheetId="9">'21710'!$A$1:$AF$37</definedName>
    <definedName name="_xlnm.Print_Area" localSheetId="10">'21730'!$A$1:$AF$37</definedName>
    <definedName name="_xlnm.Print_Area" localSheetId="11">'44112'!$A$1:$AF$37</definedName>
    <definedName name="_xlnm.Print_Area" localSheetId="12">'45110'!$A$1:$AF$37</definedName>
    <definedName name="_xlnm.Print_Area" localSheetId="13">'53010'!$A$1:$AF$37</definedName>
    <definedName name="_xlnm.Print_Area" localSheetId="14">'85210'!$A$1:$AF$37</definedName>
    <definedName name="_xlnm.Print_Area" localSheetId="15">'85122'!$A$1:$AF$37</definedName>
    <definedName name="_xlnm.Print_Area" localSheetId="16">'85121'!$A$1:$AF$37</definedName>
    <definedName name="_xlnm.Print_Area" localSheetId="17">'87210'!$A$1:$AF$37</definedName>
    <definedName name="_xlnm.Print_Area" localSheetId="18">'87250'!$A$1:$AF$37</definedName>
    <definedName name="_xlnm.Print_Area" localSheetId="19">'87230'!$A$1:$AF$37</definedName>
    <definedName name="_xlnm.Print_Area" localSheetId="20">'83143'!$A$1:$AF$37</definedName>
    <definedName name="_xlnm.Print_Area" localSheetId="21">'83141'!$A$1:$AF$37</definedName>
    <definedName name="_xlnm.Print_Area" localSheetId="22">'81160'!$A$1:$AF$37</definedName>
    <definedName name="_xlnm.Print_Area" localSheetId="23">'88010'!$A$1:$AF$37</definedName>
    <definedName name="_xlnm.Print_Area" localSheetId="24">'85235'!$A$1:$AF$37</definedName>
    <definedName name="_xlnm.Print_Area" localSheetId="25">'85240'!$A$1:$AF$37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\ &quot;GSF&quot;"/>
    <numFmt numFmtId="165" formatCode="#,##0\ &quot;GSY&quot;"/>
    <numFmt numFmtId="166" formatCode="#,##0\ &quot;LF&quot;"/>
    <numFmt numFmtId="167" formatCode="#,##0\ &quot;EA&quot;"/>
    <numFmt numFmtId="168" formatCode="#,##0\ &quot;KW&quot;"/>
    <numFmt numFmtId="169" formatCode="#,##0\ &quot;MI&quot;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Arial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7C8"/>
      </patternFill>
    </fill>
    <fill>
      <patternFill patternType="solid">
        <fgColor rgb="00D9D9D9"/>
      </patternFill>
    </fill>
    <fill>
      <patternFill patternType="solid">
        <fgColor rgb="00FFF8DC"/>
      </patternFill>
    </fill>
    <fill>
      <patternFill patternType="solid">
        <fgColor rgb="00EAF3F4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0" fillId="0" borderId="2" pivotButton="0" quotePrefix="0" xfId="0"/>
    <xf numFmtId="0" fontId="2" fillId="3" borderId="2" pivotButton="0" quotePrefix="0" xfId="0"/>
    <xf numFmtId="0" fontId="2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/>
    </xf>
    <xf numFmtId="164" fontId="5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6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>
      <c r="A1" s="1" t="inlineStr">
        <is>
          <t>BASIC FACILITY REQUIREMENTS UNIT ROLLUP</t>
        </is>
      </c>
    </row>
    <row r="2"/>
    <row r="3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8">
      <c r="B8" s="4" t="inlineStr">
        <is>
          <t>CCN</t>
        </is>
      </c>
      <c r="C8" s="4" t="inlineStr">
        <is>
          <t>Description</t>
        </is>
      </c>
      <c r="D8" s="4" t="inlineStr">
        <is>
          <t>UM</t>
        </is>
      </c>
      <c r="E8" s="4" t="inlineStr">
        <is>
          <t>Total</t>
        </is>
      </c>
    </row>
    <row r="9">
      <c r="B9" s="5" t="inlineStr">
        <is>
          <t>143 45</t>
        </is>
      </c>
      <c r="C9" s="5" t="inlineStr">
        <is>
          <t>ARMORY</t>
        </is>
      </c>
      <c r="D9" s="5" t="inlineStr">
        <is>
          <t>GSF</t>
        </is>
      </c>
      <c r="E9" s="6">
        <f>'14345'!H37</f>
        <v/>
      </c>
    </row>
    <row r="10">
      <c r="B10" s="5" t="inlineStr">
        <is>
          <t>214 51</t>
        </is>
      </c>
      <c r="C10" s="5" t="inlineStr">
        <is>
          <t>AUTO ORGANIZATIONAL SHOP</t>
        </is>
      </c>
      <c r="D10" s="5" t="inlineStr">
        <is>
          <t>GSF</t>
        </is>
      </c>
      <c r="E10" s="6">
        <f>'21451'!H37</f>
        <v/>
      </c>
    </row>
    <row r="11">
      <c r="B11" s="5" t="inlineStr">
        <is>
          <t>214 55</t>
        </is>
      </c>
      <c r="C11" s="5" t="inlineStr">
        <is>
          <t>VEHICLE WASH PLATFORM</t>
        </is>
      </c>
      <c r="D11" s="5" t="inlineStr">
        <is>
          <t>GSF</t>
        </is>
      </c>
      <c r="E11" s="6">
        <f>'21455'!H37</f>
        <v/>
      </c>
    </row>
    <row r="12">
      <c r="B12" s="5" t="inlineStr">
        <is>
          <t>610 72</t>
        </is>
      </c>
      <c r="C12" s="5" t="inlineStr">
        <is>
          <t>BATTLN SQUADRN HQ (MARCOR)</t>
        </is>
      </c>
      <c r="D12" s="5" t="inlineStr">
        <is>
          <t>GSF</t>
        </is>
      </c>
      <c r="E12" s="6">
        <f>'61072'!H37</f>
        <v/>
      </c>
    </row>
    <row r="13">
      <c r="B13" s="5" t="inlineStr">
        <is>
          <t>143 12</t>
        </is>
      </c>
      <c r="C13" s="5" t="inlineStr">
        <is>
          <t>OPRTNL VEHICLE LAYDWN AREA</t>
        </is>
      </c>
      <c r="D13" s="5" t="inlineStr">
        <is>
          <t>GSY</t>
        </is>
      </c>
      <c r="E13" s="6">
        <f>'14312'!H37</f>
        <v/>
      </c>
    </row>
    <row r="14">
      <c r="B14" s="5" t="inlineStr">
        <is>
          <t>143 26</t>
        </is>
      </c>
      <c r="C14" s="5" t="inlineStr">
        <is>
          <t>MARINE CORPS EOD PLATOON</t>
        </is>
      </c>
      <c r="D14" s="5" t="inlineStr">
        <is>
          <t>GSF</t>
        </is>
      </c>
      <c r="E14" s="6">
        <f>'14326'!H37</f>
        <v/>
      </c>
    </row>
    <row r="15">
      <c r="B15" s="5" t="inlineStr">
        <is>
          <t>217 10</t>
        </is>
      </c>
      <c r="C15" s="5" t="inlineStr">
        <is>
          <t>ELECNX/COMMS MAINT SHOP</t>
        </is>
      </c>
      <c r="D15" s="5" t="inlineStr">
        <is>
          <t>GSF</t>
        </is>
      </c>
      <c r="E15" s="6">
        <f>'21710'!H37</f>
        <v/>
      </c>
    </row>
    <row r="16">
      <c r="B16" s="5" t="inlineStr">
        <is>
          <t>217 30</t>
        </is>
      </c>
      <c r="C16" s="5" t="inlineStr">
        <is>
          <t>FLD MAINT SHOP(ELEC/COMMS)</t>
        </is>
      </c>
      <c r="D16" s="5" t="inlineStr">
        <is>
          <t>GSF</t>
        </is>
      </c>
      <c r="E16" s="6">
        <f>'21730'!H37</f>
        <v/>
      </c>
    </row>
    <row r="17">
      <c r="B17" s="5" t="inlineStr">
        <is>
          <t>441 12</t>
        </is>
      </c>
      <c r="C17" s="5" t="inlineStr">
        <is>
          <t>STG AIR/GRD ORG UTS MARCOR</t>
        </is>
      </c>
      <c r="D17" s="5" t="inlineStr">
        <is>
          <t>GSF</t>
        </is>
      </c>
      <c r="E17" s="6">
        <f>'44112'!H37</f>
        <v/>
      </c>
    </row>
    <row r="18">
      <c r="B18" s="5" t="inlineStr">
        <is>
          <t>451 10</t>
        </is>
      </c>
      <c r="C18" s="5" t="inlineStr">
        <is>
          <t>OPEN STORAGE AREA</t>
        </is>
      </c>
      <c r="D18" s="5" t="inlineStr">
        <is>
          <t>GSY</t>
        </is>
      </c>
      <c r="E18" s="6">
        <f>'45110'!H37</f>
        <v/>
      </c>
    </row>
    <row r="19">
      <c r="B19" s="5" t="inlineStr">
        <is>
          <t>530 10</t>
        </is>
      </c>
      <c r="C19" s="5" t="inlineStr">
        <is>
          <t>DISP &amp; OUT PATIENT CLINIC</t>
        </is>
      </c>
      <c r="D19" s="5" t="inlineStr">
        <is>
          <t>GSF</t>
        </is>
      </c>
      <c r="E19" s="6">
        <f>'53010'!H37</f>
        <v/>
      </c>
    </row>
    <row r="20">
      <c r="B20" s="5" t="inlineStr">
        <is>
          <t>852 10</t>
        </is>
      </c>
      <c r="C20" s="5" t="inlineStr">
        <is>
          <t>PARKING AREA</t>
        </is>
      </c>
      <c r="D20" s="5" t="inlineStr">
        <is>
          <t>GSY</t>
        </is>
      </c>
      <c r="E20" s="6">
        <f>'85210'!H37</f>
        <v/>
      </c>
    </row>
    <row r="21">
      <c r="B21" s="5" t="inlineStr">
        <is>
          <t>851 22</t>
        </is>
      </c>
      <c r="C21" s="5" t="inlineStr">
        <is>
          <t>VEHICLE STAGING AREA</t>
        </is>
      </c>
      <c r="D21" s="5" t="inlineStr">
        <is>
          <t>GSY</t>
        </is>
      </c>
      <c r="E21" s="6">
        <f>'85122'!H37</f>
        <v/>
      </c>
    </row>
    <row r="22">
      <c r="B22" s="5" t="inlineStr">
        <is>
          <t>851 21</t>
        </is>
      </c>
      <c r="C22" s="5" t="inlineStr">
        <is>
          <t>VEH. PARK, UNSURFACED</t>
        </is>
      </c>
      <c r="D22" s="5" t="inlineStr">
        <is>
          <t>GSY</t>
        </is>
      </c>
      <c r="E22" s="6">
        <f>'85121'!H37</f>
        <v/>
      </c>
    </row>
    <row r="23">
      <c r="B23" s="5" t="inlineStr">
        <is>
          <t>872 10</t>
        </is>
      </c>
      <c r="C23" s="5" t="inlineStr">
        <is>
          <t>SECURTY/PERIMTR FENCE/WALL</t>
        </is>
      </c>
      <c r="D23" s="5" t="inlineStr">
        <is>
          <t>LF</t>
        </is>
      </c>
      <c r="E23" s="6">
        <f>'87210'!H37</f>
        <v/>
      </c>
    </row>
    <row r="24">
      <c r="B24" s="5" t="inlineStr">
        <is>
          <t>872 50</t>
        </is>
      </c>
      <c r="C24" s="5" t="inlineStr">
        <is>
          <t>ENTRY GATE</t>
        </is>
      </c>
      <c r="D24" s="5" t="inlineStr">
        <is>
          <t>LF</t>
        </is>
      </c>
      <c r="E24" s="6">
        <f>'87250'!H37</f>
        <v/>
      </c>
    </row>
    <row r="25">
      <c r="B25" s="5" t="inlineStr">
        <is>
          <t>872 30</t>
        </is>
      </c>
      <c r="C25" s="5" t="inlineStr">
        <is>
          <t>MECH SEC BARRICADE</t>
        </is>
      </c>
      <c r="D25" s="5" t="inlineStr">
        <is>
          <t>EA</t>
        </is>
      </c>
      <c r="E25" s="6">
        <f>'87230'!H37</f>
        <v/>
      </c>
    </row>
    <row r="26">
      <c r="B26" s="5" t="inlineStr">
        <is>
          <t>831 43</t>
        </is>
      </c>
      <c r="C26" s="5" t="inlineStr">
        <is>
          <t>HAZ WASTE BLDG</t>
        </is>
      </c>
      <c r="D26" s="5" t="inlineStr">
        <is>
          <t>GSF</t>
        </is>
      </c>
      <c r="E26" s="6">
        <f>'83143'!H37</f>
        <v/>
      </c>
    </row>
    <row r="27">
      <c r="B27" s="5" t="inlineStr">
        <is>
          <t>831 41</t>
        </is>
      </c>
      <c r="C27" s="5" t="inlineStr">
        <is>
          <t>HAZARD WSTE STOR &amp; TRANSFR</t>
        </is>
      </c>
      <c r="D27" s="5" t="inlineStr">
        <is>
          <t>GSF</t>
        </is>
      </c>
      <c r="E27" s="6">
        <f>'83141'!H37</f>
        <v/>
      </c>
    </row>
    <row r="28">
      <c r="B28" s="5" t="inlineStr">
        <is>
          <t>811 60</t>
        </is>
      </c>
      <c r="C28" s="5" t="inlineStr">
        <is>
          <t>STANDBY GENERATOR PLANT</t>
        </is>
      </c>
      <c r="D28" s="5" t="inlineStr">
        <is>
          <t>KW</t>
        </is>
      </c>
      <c r="E28" s="6">
        <f>'81160'!H37</f>
        <v/>
      </c>
    </row>
    <row r="29">
      <c r="B29" s="5" t="inlineStr">
        <is>
          <t>880 10</t>
        </is>
      </c>
      <c r="C29" s="5" t="inlineStr">
        <is>
          <t>FIRE ALARM COMM LINES</t>
        </is>
      </c>
      <c r="D29" s="5" t="inlineStr">
        <is>
          <t>MI</t>
        </is>
      </c>
      <c r="E29" s="6">
        <f>'88010'!H37</f>
        <v/>
      </c>
    </row>
    <row r="30">
      <c r="B30" s="5" t="inlineStr">
        <is>
          <t>852 35</t>
        </is>
      </c>
      <c r="C30" s="5" t="inlineStr">
        <is>
          <t>OTHER PAVED AREA</t>
        </is>
      </c>
      <c r="D30" s="5" t="inlineStr">
        <is>
          <t>GSY</t>
        </is>
      </c>
      <c r="E30" s="6">
        <f>'85235'!H37</f>
        <v/>
      </c>
    </row>
    <row r="31">
      <c r="B31" s="5" t="inlineStr">
        <is>
          <t>852 40</t>
        </is>
      </c>
      <c r="C31" s="5" t="inlineStr">
        <is>
          <t>MISC OPEN STRG/LAYDOWN</t>
        </is>
      </c>
      <c r="D31" s="5" t="inlineStr">
        <is>
          <t>GSY</t>
        </is>
      </c>
      <c r="E31" s="6">
        <f>'85240'!H37</f>
        <v/>
      </c>
    </row>
    <row r="33">
      <c r="B33" s="7" t="inlineStr">
        <is>
          <t>GRAND TOTAL</t>
        </is>
      </c>
      <c r="C33" s="8" t="n"/>
      <c r="D33" s="8" t="n"/>
      <c r="E33" s="9">
        <f>SUM(E9:E31)</f>
        <v/>
      </c>
    </row>
  </sheetData>
  <mergeCells count="10">
    <mergeCell ref="A4:E4"/>
    <mergeCell ref="Y4:AF4"/>
    <mergeCell ref="A1:AF2"/>
    <mergeCell ref="R3:AC3"/>
    <mergeCell ref="R4:X4"/>
    <mergeCell ref="F3:L3"/>
    <mergeCell ref="F4:L4"/>
    <mergeCell ref="M4:Q4"/>
    <mergeCell ref="M3:Q3"/>
    <mergeCell ref="A3:E3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L316"/>
  <sheetViews>
    <sheetView workbookViewId="0">
      <selection activeCell="A1" sqref="A1"/>
    </sheetView>
  </sheetViews>
  <sheetFormatPr baseColWidth="8" defaultRowHeight="15"/>
  <cols>
    <col width="6" customWidth="1" min="2" max="2"/>
    <col width="9" customWidth="1" min="3" max="3"/>
    <col width="9" customWidth="1" min="4" max="4"/>
    <col width="28" customWidth="1" min="5" max="5"/>
    <col width="9" customWidth="1" min="6" max="6"/>
    <col width="7" customWidth="1" min="7" max="7"/>
    <col width="14" customWidth="1" min="8" max="8"/>
    <col width="30" customWidth="1" min="9" max="9"/>
    <col width="11" customWidth="1" min="10" max="10"/>
    <col width="7" customWidth="1" min="11" max="11"/>
    <col width="7" customWidth="1" min="12" max="12"/>
  </cols>
  <sheetData>
    <row r="6" ht="30" customHeight="1">
      <c r="A6" s="4" t="inlineStr"/>
      <c r="B6" s="4" t="inlineStr">
        <is>
          <t>LINE</t>
        </is>
      </c>
      <c r="C6" s="4" t="inlineStr">
        <is>
          <t>NOTE</t>
        </is>
      </c>
      <c r="D6" s="4" t="inlineStr">
        <is>
          <t>CCN</t>
        </is>
      </c>
      <c r="E6" s="4" t="inlineStr">
        <is>
          <t>CCN Description</t>
        </is>
      </c>
      <c r="F6" s="4" t="inlineStr">
        <is>
          <t>UIC</t>
        </is>
      </c>
      <c r="G6" s="4" t="inlineStr">
        <is>
          <t>Rec CD</t>
        </is>
      </c>
      <c r="H6" s="4" t="inlineStr">
        <is>
          <t>BIC</t>
        </is>
      </c>
      <c r="I6" s="4" t="inlineStr">
        <is>
          <t>Billet Description</t>
        </is>
      </c>
      <c r="J6" s="4" t="inlineStr">
        <is>
          <t>Alpha Grade</t>
        </is>
      </c>
      <c r="K6" s="4" t="inlineStr">
        <is>
          <t>BMOS</t>
        </is>
      </c>
      <c r="L6" s="4" t="inlineStr">
        <is>
          <t>PMOS</t>
        </is>
      </c>
    </row>
    <row r="7">
      <c r="B7" t="n">
        <v>1</v>
      </c>
      <c r="C7" t="inlineStr">
        <is>
          <t>61072o</t>
        </is>
      </c>
      <c r="D7" t="inlineStr">
        <is>
          <t>61072</t>
        </is>
      </c>
      <c r="F7" t="inlineStr">
        <is>
          <t>M29111</t>
        </is>
      </c>
      <c r="H7" t="inlineStr">
        <is>
          <t>M2911100002</t>
        </is>
      </c>
      <c r="I7" t="inlineStr">
        <is>
          <t>COMMANDING OFFICER</t>
        </is>
      </c>
      <c r="J7" t="inlineStr">
        <is>
          <t>LTCOL</t>
        </is>
      </c>
      <c r="K7" t="inlineStr">
        <is>
          <t>0402</t>
        </is>
      </c>
      <c r="L7" t="inlineStr">
        <is>
          <t>0402</t>
        </is>
      </c>
    </row>
    <row r="8">
      <c r="B8" t="n">
        <v>2</v>
      </c>
      <c r="C8" t="inlineStr">
        <is>
          <t>61072o</t>
        </is>
      </c>
      <c r="D8" t="inlineStr">
        <is>
          <t>61072</t>
        </is>
      </c>
      <c r="F8" t="inlineStr">
        <is>
          <t>M29111</t>
        </is>
      </c>
      <c r="H8" t="inlineStr">
        <is>
          <t>M2911100003</t>
        </is>
      </c>
      <c r="I8" t="inlineStr">
        <is>
          <t>EXECUTIVE OFFICER</t>
        </is>
      </c>
      <c r="J8" t="inlineStr">
        <is>
          <t>MAJ</t>
        </is>
      </c>
      <c r="K8" t="inlineStr">
        <is>
          <t>1302</t>
        </is>
      </c>
      <c r="L8" t="inlineStr">
        <is>
          <t>1302</t>
        </is>
      </c>
    </row>
    <row r="9">
      <c r="B9" t="n">
        <v>3</v>
      </c>
      <c r="C9" t="inlineStr">
        <is>
          <t>61072o</t>
        </is>
      </c>
      <c r="D9" t="inlineStr">
        <is>
          <t>61072</t>
        </is>
      </c>
      <c r="F9" t="inlineStr">
        <is>
          <t>M29111</t>
        </is>
      </c>
      <c r="H9" t="inlineStr">
        <is>
          <t>M2911100004</t>
        </is>
      </c>
      <c r="I9" t="inlineStr">
        <is>
          <t>COMMAND SENIOR ENLISTED LEADER</t>
        </is>
      </c>
      <c r="J9" t="inlineStr">
        <is>
          <t>SGTMAJ</t>
        </is>
      </c>
      <c r="K9" t="inlineStr">
        <is>
          <t>8999</t>
        </is>
      </c>
      <c r="L9" t="inlineStr">
        <is>
          <t>8999</t>
        </is>
      </c>
    </row>
    <row r="10">
      <c r="B10" t="n">
        <v>4</v>
      </c>
      <c r="C10" t="inlineStr">
        <is>
          <t>61072o</t>
        </is>
      </c>
      <c r="D10" t="inlineStr">
        <is>
          <t>61072</t>
        </is>
      </c>
      <c r="F10" t="inlineStr">
        <is>
          <t>M29111</t>
        </is>
      </c>
      <c r="H10" t="inlineStr">
        <is>
          <t>M2911100005</t>
        </is>
      </c>
      <c r="I10" t="inlineStr">
        <is>
          <t>TAC CHAPLAIN</t>
        </is>
      </c>
      <c r="J10" t="inlineStr">
        <is>
          <t>LT</t>
        </is>
      </c>
      <c r="K10" t="inlineStr">
        <is>
          <t>4100</t>
        </is>
      </c>
      <c r="L10" t="inlineStr">
        <is>
          <t>4100</t>
        </is>
      </c>
    </row>
    <row r="11">
      <c r="B11" t="n">
        <v>5</v>
      </c>
      <c r="C11" t="inlineStr">
        <is>
          <t>61072c</t>
        </is>
      </c>
      <c r="D11" t="inlineStr">
        <is>
          <t>61072</t>
        </is>
      </c>
      <c r="F11" t="inlineStr">
        <is>
          <t>M29111</t>
        </is>
      </c>
      <c r="H11" t="inlineStr">
        <is>
          <t>M2911100006</t>
        </is>
      </c>
      <c r="I11" t="inlineStr">
        <is>
          <t>RP SPECIALIST</t>
        </is>
      </c>
      <c r="J11" t="inlineStr">
        <is>
          <t>RP3</t>
        </is>
      </c>
      <c r="K11" t="inlineStr">
        <is>
          <t>A17A</t>
        </is>
      </c>
      <c r="L11" t="inlineStr">
        <is>
          <t>A17A</t>
        </is>
      </c>
    </row>
    <row r="12">
      <c r="B12" t="n">
        <v>6</v>
      </c>
      <c r="C12" t="inlineStr">
        <is>
          <t>61072o</t>
        </is>
      </c>
      <c r="D12" t="inlineStr">
        <is>
          <t>61072</t>
        </is>
      </c>
      <c r="F12" t="inlineStr">
        <is>
          <t>M29111</t>
        </is>
      </c>
      <c r="H12" t="inlineStr">
        <is>
          <t>M2911100008</t>
        </is>
      </c>
      <c r="I12" t="inlineStr">
        <is>
          <t>MANPOWER OFFICER</t>
        </is>
      </c>
      <c r="J12" t="inlineStr">
        <is>
          <t>1STLT</t>
        </is>
      </c>
      <c r="K12" t="inlineStr">
        <is>
          <t>0102</t>
        </is>
      </c>
      <c r="L12" t="inlineStr">
        <is>
          <t>0102</t>
        </is>
      </c>
    </row>
    <row r="13">
      <c r="B13" t="n">
        <v>7</v>
      </c>
      <c r="C13" t="inlineStr">
        <is>
          <t>61072o</t>
        </is>
      </c>
      <c r="D13" t="inlineStr">
        <is>
          <t>61072</t>
        </is>
      </c>
      <c r="F13" t="inlineStr">
        <is>
          <t>M29111</t>
        </is>
      </c>
      <c r="H13" t="inlineStr">
        <is>
          <t>M2911100009</t>
        </is>
      </c>
      <c r="I13" t="inlineStr">
        <is>
          <t>ADMIN CHIEF</t>
        </is>
      </c>
      <c r="J13" t="inlineStr">
        <is>
          <t>SSGT</t>
        </is>
      </c>
      <c r="K13" t="inlineStr">
        <is>
          <t>0111</t>
        </is>
      </c>
      <c r="L13" t="inlineStr">
        <is>
          <t>0111</t>
        </is>
      </c>
    </row>
    <row r="14">
      <c r="B14" t="n">
        <v>8</v>
      </c>
      <c r="C14" t="inlineStr">
        <is>
          <t>61072c</t>
        </is>
      </c>
      <c r="D14" t="inlineStr">
        <is>
          <t>61072</t>
        </is>
      </c>
      <c r="F14" t="inlineStr">
        <is>
          <t>M29111</t>
        </is>
      </c>
      <c r="H14" t="inlineStr">
        <is>
          <t>M2911100010</t>
        </is>
      </c>
      <c r="I14" t="inlineStr">
        <is>
          <t>ADMIN SPECIALIST</t>
        </is>
      </c>
      <c r="J14" t="inlineStr">
        <is>
          <t>CPL</t>
        </is>
      </c>
      <c r="K14" t="inlineStr">
        <is>
          <t>0111</t>
        </is>
      </c>
      <c r="L14" t="inlineStr">
        <is>
          <t>0111</t>
        </is>
      </c>
    </row>
    <row r="15">
      <c r="B15" t="n">
        <v>9</v>
      </c>
      <c r="C15" t="inlineStr">
        <is>
          <t>61072c</t>
        </is>
      </c>
      <c r="D15" t="inlineStr">
        <is>
          <t>61072</t>
        </is>
      </c>
      <c r="F15" t="inlineStr">
        <is>
          <t>M29111</t>
        </is>
      </c>
      <c r="H15" t="inlineStr">
        <is>
          <t>M2911100011</t>
        </is>
      </c>
      <c r="I15" t="inlineStr">
        <is>
          <t>ADMIN SPECIALIST</t>
        </is>
      </c>
      <c r="J15" t="inlineStr">
        <is>
          <t>LCPL</t>
        </is>
      </c>
      <c r="K15" t="inlineStr">
        <is>
          <t>0111</t>
        </is>
      </c>
      <c r="L15" t="inlineStr">
        <is>
          <t>0111</t>
        </is>
      </c>
    </row>
    <row r="16">
      <c r="B16" t="n">
        <v>10</v>
      </c>
      <c r="C16" t="inlineStr">
        <is>
          <t>61072o</t>
        </is>
      </c>
      <c r="D16" t="inlineStr">
        <is>
          <t>61072</t>
        </is>
      </c>
      <c r="F16" t="inlineStr">
        <is>
          <t>M29111</t>
        </is>
      </c>
      <c r="H16" t="inlineStr">
        <is>
          <t>M2911100013</t>
        </is>
      </c>
      <c r="I16" t="inlineStr">
        <is>
          <t>INTELLIGENCE OFFICER</t>
        </is>
      </c>
      <c r="J16" t="inlineStr">
        <is>
          <t>1STLT</t>
        </is>
      </c>
      <c r="K16" t="inlineStr">
        <is>
          <t>0234</t>
        </is>
      </c>
      <c r="L16" t="inlineStr">
        <is>
          <t>0202</t>
        </is>
      </c>
    </row>
    <row r="17">
      <c r="B17" t="n">
        <v>11</v>
      </c>
      <c r="C17" t="inlineStr">
        <is>
          <t>61072o</t>
        </is>
      </c>
      <c r="D17" t="inlineStr">
        <is>
          <t>61072</t>
        </is>
      </c>
      <c r="F17" t="inlineStr">
        <is>
          <t>M29111</t>
        </is>
      </c>
      <c r="H17" t="inlineStr">
        <is>
          <t>M2911100014</t>
        </is>
      </c>
      <c r="I17" t="inlineStr">
        <is>
          <t>INTELLIGENCE CHIEF</t>
        </is>
      </c>
      <c r="J17" t="inlineStr">
        <is>
          <t>GYSGT</t>
        </is>
      </c>
      <c r="K17" t="inlineStr">
        <is>
          <t>0231</t>
        </is>
      </c>
      <c r="L17" t="inlineStr">
        <is>
          <t>0231</t>
        </is>
      </c>
    </row>
    <row r="18">
      <c r="B18" t="n">
        <v>12</v>
      </c>
      <c r="C18" t="inlineStr">
        <is>
          <t>61072c</t>
        </is>
      </c>
      <c r="D18" t="inlineStr">
        <is>
          <t>61072</t>
        </is>
      </c>
      <c r="F18" t="inlineStr">
        <is>
          <t>M29111</t>
        </is>
      </c>
      <c r="H18" t="inlineStr">
        <is>
          <t>M2911100015</t>
        </is>
      </c>
      <c r="I18" t="inlineStr">
        <is>
          <t>INTELLIGENCE SPECIALIST</t>
        </is>
      </c>
      <c r="J18" t="inlineStr">
        <is>
          <t>SGT</t>
        </is>
      </c>
      <c r="K18" t="inlineStr">
        <is>
          <t>0231</t>
        </is>
      </c>
      <c r="L18" t="inlineStr">
        <is>
          <t>0231</t>
        </is>
      </c>
    </row>
    <row r="19">
      <c r="B19" t="n">
        <v>13</v>
      </c>
      <c r="C19" t="inlineStr">
        <is>
          <t>61072c</t>
        </is>
      </c>
      <c r="D19" t="inlineStr">
        <is>
          <t>61072</t>
        </is>
      </c>
      <c r="F19" t="inlineStr">
        <is>
          <t>M29111</t>
        </is>
      </c>
      <c r="H19" t="inlineStr">
        <is>
          <t>M2911100016</t>
        </is>
      </c>
      <c r="I19" t="inlineStr">
        <is>
          <t>INTELLIGENCE SPECIALIST</t>
        </is>
      </c>
      <c r="J19" t="inlineStr">
        <is>
          <t>CPL</t>
        </is>
      </c>
      <c r="K19" t="inlineStr">
        <is>
          <t>0231</t>
        </is>
      </c>
      <c r="L19" t="inlineStr">
        <is>
          <t>0231</t>
        </is>
      </c>
    </row>
    <row r="20">
      <c r="B20" t="n">
        <v>14</v>
      </c>
      <c r="C20" t="inlineStr">
        <is>
          <t>61072o</t>
        </is>
      </c>
      <c r="D20" t="inlineStr">
        <is>
          <t>61072</t>
        </is>
      </c>
      <c r="F20" t="inlineStr">
        <is>
          <t>M29111</t>
        </is>
      </c>
      <c r="H20" t="inlineStr">
        <is>
          <t>M2911100018</t>
        </is>
      </c>
      <c r="I20" t="inlineStr">
        <is>
          <t>OPERATIONS OFFICER</t>
        </is>
      </c>
      <c r="J20" t="inlineStr">
        <is>
          <t>MAJ</t>
        </is>
      </c>
      <c r="K20" t="inlineStr">
        <is>
          <t>0477</t>
        </is>
      </c>
      <c r="L20" t="inlineStr">
        <is>
          <t>0402</t>
        </is>
      </c>
    </row>
    <row r="21">
      <c r="B21" t="n">
        <v>15</v>
      </c>
      <c r="C21" t="inlineStr">
        <is>
          <t>61072o</t>
        </is>
      </c>
      <c r="D21" t="inlineStr">
        <is>
          <t>61072</t>
        </is>
      </c>
      <c r="F21" t="inlineStr">
        <is>
          <t>M29111</t>
        </is>
      </c>
      <c r="H21" t="inlineStr">
        <is>
          <t>M2911100019</t>
        </is>
      </c>
      <c r="I21" t="inlineStr">
        <is>
          <t>OPERATIONS CHIEF</t>
        </is>
      </c>
      <c r="J21" t="inlineStr">
        <is>
          <t>MSGT</t>
        </is>
      </c>
      <c r="K21" t="inlineStr">
        <is>
          <t>0477</t>
        </is>
      </c>
      <c r="L21" t="inlineStr">
        <is>
          <t>0491</t>
        </is>
      </c>
    </row>
    <row r="22">
      <c r="B22" t="n">
        <v>16</v>
      </c>
      <c r="C22" t="inlineStr">
        <is>
          <t>61072o</t>
        </is>
      </c>
      <c r="D22" t="inlineStr">
        <is>
          <t>61072</t>
        </is>
      </c>
      <c r="F22" t="inlineStr">
        <is>
          <t>M29111</t>
        </is>
      </c>
      <c r="H22" t="inlineStr">
        <is>
          <t>M2911100020</t>
        </is>
      </c>
      <c r="I22" t="inlineStr">
        <is>
          <t>FUTURE OPERATIONS OFFICER</t>
        </is>
      </c>
      <c r="J22" t="inlineStr">
        <is>
          <t>CAPT</t>
        </is>
      </c>
      <c r="K22" t="inlineStr">
        <is>
          <t>0402</t>
        </is>
      </c>
      <c r="L22" t="inlineStr">
        <is>
          <t>0402</t>
        </is>
      </c>
    </row>
    <row r="23">
      <c r="B23" t="n">
        <v>17</v>
      </c>
      <c r="C23" t="inlineStr">
        <is>
          <t>61072o</t>
        </is>
      </c>
      <c r="D23" t="inlineStr">
        <is>
          <t>61072</t>
        </is>
      </c>
      <c r="F23" t="inlineStr">
        <is>
          <t>M29111</t>
        </is>
      </c>
      <c r="H23" t="inlineStr">
        <is>
          <t>M2911100021</t>
        </is>
      </c>
      <c r="I23" t="inlineStr">
        <is>
          <t>ASSISTANT OPERATIONS OFFICER</t>
        </is>
      </c>
      <c r="J23" t="inlineStr">
        <is>
          <t>1STLT</t>
        </is>
      </c>
      <c r="K23" t="inlineStr">
        <is>
          <t>0405</t>
        </is>
      </c>
      <c r="L23" t="inlineStr">
        <is>
          <t>0402</t>
        </is>
      </c>
    </row>
    <row r="24">
      <c r="B24" t="n">
        <v>18</v>
      </c>
      <c r="C24" t="inlineStr">
        <is>
          <t>61072o</t>
        </is>
      </c>
      <c r="D24" t="inlineStr">
        <is>
          <t>61072</t>
        </is>
      </c>
      <c r="F24" t="inlineStr">
        <is>
          <t>M29111</t>
        </is>
      </c>
      <c r="H24" t="inlineStr">
        <is>
          <t>M2911100022</t>
        </is>
      </c>
      <c r="I24" t="inlineStr">
        <is>
          <t>MOTOR TRANSPORT OPERATIONS CHIEF</t>
        </is>
      </c>
      <c r="J24" t="inlineStr">
        <is>
          <t>SSGT</t>
        </is>
      </c>
      <c r="K24" t="inlineStr">
        <is>
          <t>3537</t>
        </is>
      </c>
      <c r="L24" t="inlineStr">
        <is>
          <t>3537</t>
        </is>
      </c>
    </row>
    <row r="25">
      <c r="B25" t="n">
        <v>19</v>
      </c>
      <c r="C25" t="inlineStr">
        <is>
          <t>21730</t>
        </is>
      </c>
      <c r="D25" t="inlineStr">
        <is>
          <t>21730</t>
        </is>
      </c>
      <c r="F25" t="inlineStr">
        <is>
          <t>M29111</t>
        </is>
      </c>
      <c r="H25" t="inlineStr">
        <is>
          <t>M2911100024</t>
        </is>
      </c>
      <c r="I25" t="inlineStr">
        <is>
          <t>WATER SUPPORT NCO</t>
        </is>
      </c>
      <c r="J25" t="inlineStr">
        <is>
          <t>CPL</t>
        </is>
      </c>
      <c r="K25" t="inlineStr">
        <is>
          <t>1171</t>
        </is>
      </c>
      <c r="L25" t="inlineStr">
        <is>
          <t>1171</t>
        </is>
      </c>
    </row>
    <row r="26">
      <c r="B26" t="n">
        <v>20</v>
      </c>
      <c r="C26" t="inlineStr">
        <is>
          <t>14326</t>
        </is>
      </c>
      <c r="D26" t="inlineStr">
        <is>
          <t>14326</t>
        </is>
      </c>
      <c r="F26" t="inlineStr">
        <is>
          <t>M29111</t>
        </is>
      </c>
      <c r="H26" t="inlineStr">
        <is>
          <t>M2911100026</t>
        </is>
      </c>
      <c r="I26" t="inlineStr">
        <is>
          <t>EOD OFFICER</t>
        </is>
      </c>
      <c r="J26" t="inlineStr">
        <is>
          <t>CWO2</t>
        </is>
      </c>
      <c r="K26" t="inlineStr">
        <is>
          <t>2305</t>
        </is>
      </c>
      <c r="L26" t="inlineStr">
        <is>
          <t>2305</t>
        </is>
      </c>
    </row>
    <row r="27">
      <c r="B27" t="n">
        <v>21</v>
      </c>
      <c r="C27" t="inlineStr">
        <is>
          <t>14326</t>
        </is>
      </c>
      <c r="D27" t="inlineStr">
        <is>
          <t>14326</t>
        </is>
      </c>
      <c r="F27" t="inlineStr">
        <is>
          <t>M29111</t>
        </is>
      </c>
      <c r="H27" t="inlineStr">
        <is>
          <t>M2911100027</t>
        </is>
      </c>
      <c r="I27" t="inlineStr">
        <is>
          <t>SECTION CHIEF</t>
        </is>
      </c>
      <c r="J27" t="inlineStr">
        <is>
          <t>MSGT</t>
        </is>
      </c>
      <c r="K27" t="inlineStr">
        <is>
          <t>2336</t>
        </is>
      </c>
      <c r="L27" t="inlineStr">
        <is>
          <t>2336</t>
        </is>
      </c>
    </row>
    <row r="28">
      <c r="B28" t="n">
        <v>22</v>
      </c>
      <c r="C28" t="inlineStr"/>
      <c r="D28" t="inlineStr"/>
      <c r="F28" t="inlineStr">
        <is>
          <t>M29111</t>
        </is>
      </c>
      <c r="H28" t="inlineStr">
        <is>
          <t>M2911100028</t>
        </is>
      </c>
      <c r="I28" t="inlineStr">
        <is>
          <t>ASSISTANT SECTION CHIEF</t>
        </is>
      </c>
      <c r="J28" t="inlineStr">
        <is>
          <t>GYSGT</t>
        </is>
      </c>
      <c r="K28" t="inlineStr">
        <is>
          <t>8023</t>
        </is>
      </c>
      <c r="L28" t="inlineStr">
        <is>
          <t>2336</t>
        </is>
      </c>
    </row>
    <row r="29">
      <c r="B29" t="n">
        <v>23</v>
      </c>
      <c r="C29" t="inlineStr">
        <is>
          <t>14326</t>
        </is>
      </c>
      <c r="D29" t="inlineStr">
        <is>
          <t>14326</t>
        </is>
      </c>
      <c r="F29" t="inlineStr">
        <is>
          <t>M29111</t>
        </is>
      </c>
      <c r="H29" t="inlineStr">
        <is>
          <t>M2911100029</t>
        </is>
      </c>
      <c r="I29" t="inlineStr">
        <is>
          <t>ASSISTANT SECTION CHIEF</t>
        </is>
      </c>
      <c r="J29" t="inlineStr">
        <is>
          <t>GYSGT</t>
        </is>
      </c>
      <c r="K29" t="inlineStr">
        <is>
          <t>2336</t>
        </is>
      </c>
      <c r="L29" t="inlineStr">
        <is>
          <t>2336</t>
        </is>
      </c>
    </row>
    <row r="30">
      <c r="B30" t="n">
        <v>24</v>
      </c>
      <c r="C30" t="inlineStr"/>
      <c r="D30" t="inlineStr"/>
      <c r="F30" t="inlineStr">
        <is>
          <t>M29111</t>
        </is>
      </c>
      <c r="H30" t="inlineStr">
        <is>
          <t>M2911100030</t>
        </is>
      </c>
      <c r="I30" t="inlineStr">
        <is>
          <t>EOD TECHNICIAN</t>
        </is>
      </c>
      <c r="J30" t="inlineStr">
        <is>
          <t>SSGT</t>
        </is>
      </c>
      <c r="K30" t="inlineStr">
        <is>
          <t>8023</t>
        </is>
      </c>
      <c r="L30" t="inlineStr">
        <is>
          <t>2336</t>
        </is>
      </c>
    </row>
    <row r="31">
      <c r="B31" t="n">
        <v>25</v>
      </c>
      <c r="C31" t="inlineStr">
        <is>
          <t>14326</t>
        </is>
      </c>
      <c r="D31" t="inlineStr">
        <is>
          <t>14326</t>
        </is>
      </c>
      <c r="F31" t="inlineStr">
        <is>
          <t>M29111</t>
        </is>
      </c>
      <c r="H31" t="inlineStr">
        <is>
          <t>M2911100031</t>
        </is>
      </c>
      <c r="I31" t="inlineStr">
        <is>
          <t>EOD TECHNICIAN</t>
        </is>
      </c>
      <c r="J31" t="inlineStr">
        <is>
          <t>SSGT</t>
        </is>
      </c>
      <c r="K31" t="inlineStr">
        <is>
          <t>2336</t>
        </is>
      </c>
      <c r="L31" t="inlineStr">
        <is>
          <t>2336</t>
        </is>
      </c>
    </row>
    <row r="32">
      <c r="B32" t="n">
        <v>26</v>
      </c>
      <c r="C32" t="inlineStr"/>
      <c r="D32" t="inlineStr"/>
      <c r="F32" t="inlineStr">
        <is>
          <t>M29111</t>
        </is>
      </c>
      <c r="H32" t="inlineStr">
        <is>
          <t>M2911100032</t>
        </is>
      </c>
      <c r="I32" t="inlineStr">
        <is>
          <t>EOD TECHNICIAN</t>
        </is>
      </c>
      <c r="J32" t="inlineStr">
        <is>
          <t>SSGT</t>
        </is>
      </c>
      <c r="K32" t="inlineStr">
        <is>
          <t>8023</t>
        </is>
      </c>
      <c r="L32" t="inlineStr">
        <is>
          <t>2336</t>
        </is>
      </c>
    </row>
    <row r="33">
      <c r="B33" t="n">
        <v>27</v>
      </c>
      <c r="C33" t="inlineStr"/>
      <c r="D33" t="inlineStr"/>
      <c r="F33" t="inlineStr">
        <is>
          <t>M29111</t>
        </is>
      </c>
      <c r="H33" t="inlineStr">
        <is>
          <t>M2911100033</t>
        </is>
      </c>
      <c r="I33" t="inlineStr">
        <is>
          <t>EOD TECHNICIAN</t>
        </is>
      </c>
      <c r="J33" t="inlineStr">
        <is>
          <t>SGT</t>
        </is>
      </c>
      <c r="K33" t="inlineStr">
        <is>
          <t>8023</t>
        </is>
      </c>
      <c r="L33" t="inlineStr">
        <is>
          <t>2336</t>
        </is>
      </c>
    </row>
    <row r="34">
      <c r="B34" t="n">
        <v>28</v>
      </c>
      <c r="C34" t="inlineStr">
        <is>
          <t>14326</t>
        </is>
      </c>
      <c r="D34" t="inlineStr">
        <is>
          <t>14326</t>
        </is>
      </c>
      <c r="F34" t="inlineStr">
        <is>
          <t>M29111</t>
        </is>
      </c>
      <c r="H34" t="inlineStr">
        <is>
          <t>M2911100034</t>
        </is>
      </c>
      <c r="I34" t="inlineStr">
        <is>
          <t>EOD TECHNICIAN</t>
        </is>
      </c>
      <c r="J34" t="inlineStr">
        <is>
          <t>SGT</t>
        </is>
      </c>
      <c r="K34" t="inlineStr">
        <is>
          <t>2336</t>
        </is>
      </c>
      <c r="L34" t="inlineStr">
        <is>
          <t>2336</t>
        </is>
      </c>
    </row>
    <row r="35">
      <c r="B35" t="n">
        <v>29</v>
      </c>
      <c r="C35" t="inlineStr">
        <is>
          <t>14326</t>
        </is>
      </c>
      <c r="D35" t="inlineStr">
        <is>
          <t>14326</t>
        </is>
      </c>
      <c r="F35" t="inlineStr">
        <is>
          <t>M29111</t>
        </is>
      </c>
      <c r="H35" t="inlineStr">
        <is>
          <t>M2911100035</t>
        </is>
      </c>
      <c r="I35" t="inlineStr">
        <is>
          <t>EOD TECHNICIAN</t>
        </is>
      </c>
      <c r="J35" t="inlineStr">
        <is>
          <t>SGT</t>
        </is>
      </c>
      <c r="K35" t="inlineStr">
        <is>
          <t>2336</t>
        </is>
      </c>
      <c r="L35" t="inlineStr">
        <is>
          <t>2336</t>
        </is>
      </c>
    </row>
    <row r="36">
      <c r="B36" t="n">
        <v>30</v>
      </c>
      <c r="C36" t="inlineStr">
        <is>
          <t>14326</t>
        </is>
      </c>
      <c r="D36" t="inlineStr">
        <is>
          <t>14326</t>
        </is>
      </c>
      <c r="F36" t="inlineStr">
        <is>
          <t>M29111</t>
        </is>
      </c>
      <c r="H36" t="inlineStr">
        <is>
          <t>M2911100036</t>
        </is>
      </c>
      <c r="I36" t="inlineStr">
        <is>
          <t>EOD TECHNICIAN</t>
        </is>
      </c>
      <c r="J36" t="inlineStr">
        <is>
          <t>SGT</t>
        </is>
      </c>
      <c r="K36" t="inlineStr">
        <is>
          <t>2336</t>
        </is>
      </c>
      <c r="L36" t="inlineStr">
        <is>
          <t>2336</t>
        </is>
      </c>
    </row>
    <row r="37">
      <c r="B37" t="n">
        <v>31</v>
      </c>
      <c r="C37" t="inlineStr">
        <is>
          <t>14326</t>
        </is>
      </c>
      <c r="D37" t="inlineStr">
        <is>
          <t>14326</t>
        </is>
      </c>
      <c r="F37" t="inlineStr">
        <is>
          <t>M29111</t>
        </is>
      </c>
      <c r="H37" t="inlineStr">
        <is>
          <t>M2911100037</t>
        </is>
      </c>
      <c r="I37" t="inlineStr">
        <is>
          <t>EOD TECHNICIAN</t>
        </is>
      </c>
      <c r="J37" t="inlineStr">
        <is>
          <t>SGT</t>
        </is>
      </c>
      <c r="K37" t="inlineStr">
        <is>
          <t>2336</t>
        </is>
      </c>
      <c r="L37" t="inlineStr">
        <is>
          <t>2336</t>
        </is>
      </c>
    </row>
    <row r="38">
      <c r="B38" t="n">
        <v>32</v>
      </c>
      <c r="C38" t="inlineStr">
        <is>
          <t>14326</t>
        </is>
      </c>
      <c r="D38" t="inlineStr">
        <is>
          <t>14326</t>
        </is>
      </c>
      <c r="F38" t="inlineStr">
        <is>
          <t>M29111</t>
        </is>
      </c>
      <c r="H38" t="inlineStr">
        <is>
          <t>M2911100038</t>
        </is>
      </c>
      <c r="I38" t="inlineStr">
        <is>
          <t>EOD TECHNICIAN</t>
        </is>
      </c>
      <c r="J38" t="inlineStr">
        <is>
          <t>SGT</t>
        </is>
      </c>
      <c r="K38" t="inlineStr">
        <is>
          <t>2336</t>
        </is>
      </c>
      <c r="L38" t="inlineStr">
        <is>
          <t>2336</t>
        </is>
      </c>
    </row>
    <row r="39">
      <c r="B39" t="n">
        <v>33</v>
      </c>
      <c r="C39" t="inlineStr">
        <is>
          <t>44112w</t>
        </is>
      </c>
      <c r="D39" t="inlineStr">
        <is>
          <t>44112</t>
        </is>
      </c>
      <c r="F39" t="inlineStr">
        <is>
          <t>M29111</t>
        </is>
      </c>
      <c r="H39" t="inlineStr">
        <is>
          <t>M2911100040</t>
        </is>
      </c>
      <c r="I39" t="inlineStr">
        <is>
          <t>LOGISTICS OFFICER</t>
        </is>
      </c>
      <c r="J39" t="inlineStr">
        <is>
          <t>CAPT</t>
        </is>
      </c>
      <c r="K39" t="inlineStr">
        <is>
          <t>0402</t>
        </is>
      </c>
      <c r="L39" t="inlineStr">
        <is>
          <t>0402</t>
        </is>
      </c>
    </row>
    <row r="40">
      <c r="B40" t="n">
        <v>34</v>
      </c>
      <c r="C40" t="inlineStr">
        <is>
          <t>44112w</t>
        </is>
      </c>
      <c r="D40" t="inlineStr">
        <is>
          <t>44112</t>
        </is>
      </c>
      <c r="F40" t="inlineStr">
        <is>
          <t>M29111</t>
        </is>
      </c>
      <c r="H40" t="inlineStr">
        <is>
          <t>M2911100041</t>
        </is>
      </c>
      <c r="I40" t="inlineStr">
        <is>
          <t>LOGISTICS CHIEF</t>
        </is>
      </c>
      <c r="J40" t="inlineStr">
        <is>
          <t>GYSGT</t>
        </is>
      </c>
      <c r="K40" t="inlineStr">
        <is>
          <t>0491</t>
        </is>
      </c>
      <c r="L40" t="inlineStr">
        <is>
          <t>0491</t>
        </is>
      </c>
    </row>
    <row r="41">
      <c r="B41" t="n">
        <v>35</v>
      </c>
      <c r="C41" t="inlineStr">
        <is>
          <t>44112w</t>
        </is>
      </c>
      <c r="D41" t="inlineStr">
        <is>
          <t>44112</t>
        </is>
      </c>
      <c r="F41" t="inlineStr">
        <is>
          <t>M29111</t>
        </is>
      </c>
      <c r="H41" t="inlineStr">
        <is>
          <t>M2911100042</t>
        </is>
      </c>
      <c r="I41" t="inlineStr">
        <is>
          <t>LOGISTICS SPECIALIST</t>
        </is>
      </c>
      <c r="J41" t="inlineStr">
        <is>
          <t>CPL</t>
        </is>
      </c>
      <c r="K41" t="inlineStr">
        <is>
          <t>0441</t>
        </is>
      </c>
      <c r="L41" t="inlineStr">
        <is>
          <t>0441</t>
        </is>
      </c>
    </row>
    <row r="42">
      <c r="B42" t="n">
        <v>36</v>
      </c>
      <c r="C42" t="inlineStr">
        <is>
          <t>44112w</t>
        </is>
      </c>
      <c r="D42" t="inlineStr">
        <is>
          <t>44112</t>
        </is>
      </c>
      <c r="F42" t="inlineStr">
        <is>
          <t>M29111</t>
        </is>
      </c>
      <c r="H42" t="inlineStr">
        <is>
          <t>M2911100043</t>
        </is>
      </c>
      <c r="I42" t="inlineStr">
        <is>
          <t>MOBILITY OFFICER</t>
        </is>
      </c>
      <c r="J42" t="inlineStr">
        <is>
          <t>CWO2</t>
        </is>
      </c>
      <c r="K42" t="inlineStr">
        <is>
          <t>0430</t>
        </is>
      </c>
      <c r="L42" t="inlineStr">
        <is>
          <t>0430</t>
        </is>
      </c>
    </row>
    <row r="43">
      <c r="B43" t="n">
        <v>37</v>
      </c>
      <c r="C43" t="inlineStr">
        <is>
          <t>44112w</t>
        </is>
      </c>
      <c r="D43" t="inlineStr">
        <is>
          <t>44112</t>
        </is>
      </c>
      <c r="F43" t="inlineStr">
        <is>
          <t>M29111</t>
        </is>
      </c>
      <c r="H43" t="inlineStr">
        <is>
          <t>M2911100044</t>
        </is>
      </c>
      <c r="I43" t="inlineStr">
        <is>
          <t>LOGISTICS SPECIALIST</t>
        </is>
      </c>
      <c r="J43" t="inlineStr">
        <is>
          <t>SSGT</t>
        </is>
      </c>
      <c r="K43" t="inlineStr">
        <is>
          <t>0441</t>
        </is>
      </c>
      <c r="L43" t="inlineStr">
        <is>
          <t>0441</t>
        </is>
      </c>
    </row>
    <row r="44">
      <c r="B44" t="n">
        <v>38</v>
      </c>
      <c r="C44" t="inlineStr">
        <is>
          <t>44112w</t>
        </is>
      </c>
      <c r="D44" t="inlineStr">
        <is>
          <t>44112</t>
        </is>
      </c>
      <c r="F44" t="inlineStr">
        <is>
          <t>M29111</t>
        </is>
      </c>
      <c r="H44" t="inlineStr">
        <is>
          <t>M2911100045</t>
        </is>
      </c>
      <c r="I44" t="inlineStr">
        <is>
          <t>LOGISTICS SPECIALIST</t>
        </is>
      </c>
      <c r="J44" t="inlineStr">
        <is>
          <t>CPL</t>
        </is>
      </c>
      <c r="K44" t="inlineStr">
        <is>
          <t>0441</t>
        </is>
      </c>
      <c r="L44" t="inlineStr">
        <is>
          <t>0441</t>
        </is>
      </c>
    </row>
    <row r="45">
      <c r="B45" t="n">
        <v>39</v>
      </c>
      <c r="C45" t="inlineStr">
        <is>
          <t>44112w</t>
        </is>
      </c>
      <c r="D45" t="inlineStr">
        <is>
          <t>44112</t>
        </is>
      </c>
      <c r="F45" t="inlineStr">
        <is>
          <t>M29111</t>
        </is>
      </c>
      <c r="H45" t="inlineStr">
        <is>
          <t>M2911100071</t>
        </is>
      </c>
      <c r="I45" t="inlineStr">
        <is>
          <t>MAINTENANCE MANAGEMENT SPECIALIST</t>
        </is>
      </c>
      <c r="J45" t="inlineStr">
        <is>
          <t>SGT</t>
        </is>
      </c>
      <c r="K45" t="inlineStr">
        <is>
          <t>0411</t>
        </is>
      </c>
      <c r="L45" t="inlineStr">
        <is>
          <t>0411</t>
        </is>
      </c>
    </row>
    <row r="46">
      <c r="B46" t="n">
        <v>40</v>
      </c>
      <c r="C46" t="inlineStr">
        <is>
          <t>44112w</t>
        </is>
      </c>
      <c r="D46" t="inlineStr">
        <is>
          <t>44112</t>
        </is>
      </c>
      <c r="F46" t="inlineStr">
        <is>
          <t>M29111</t>
        </is>
      </c>
      <c r="H46" t="inlineStr">
        <is>
          <t>M2911100092</t>
        </is>
      </c>
      <c r="I46" t="inlineStr">
        <is>
          <t>MAINTENANCE MANAGEMENT SPECIALIST</t>
        </is>
      </c>
      <c r="J46" t="inlineStr">
        <is>
          <t>CPL</t>
        </is>
      </c>
      <c r="K46" t="inlineStr">
        <is>
          <t>0411</t>
        </is>
      </c>
      <c r="L46" t="inlineStr">
        <is>
          <t>0411</t>
        </is>
      </c>
    </row>
    <row r="47">
      <c r="B47" t="n">
        <v>41</v>
      </c>
      <c r="C47" t="inlineStr">
        <is>
          <t>44112w</t>
        </is>
      </c>
      <c r="D47" t="inlineStr">
        <is>
          <t>44112</t>
        </is>
      </c>
      <c r="F47" t="inlineStr">
        <is>
          <t>M29111</t>
        </is>
      </c>
      <c r="H47" t="inlineStr">
        <is>
          <t>M2911100047</t>
        </is>
      </c>
      <c r="I47" t="inlineStr">
        <is>
          <t>GROUND SUPPLY OFFICER</t>
        </is>
      </c>
      <c r="J47" t="inlineStr">
        <is>
          <t>CAPT</t>
        </is>
      </c>
      <c r="K47" t="inlineStr">
        <is>
          <t>3002</t>
        </is>
      </c>
      <c r="L47" t="inlineStr">
        <is>
          <t>3002</t>
        </is>
      </c>
    </row>
    <row r="48">
      <c r="B48" t="n">
        <v>42</v>
      </c>
      <c r="C48" t="inlineStr">
        <is>
          <t>44112w</t>
        </is>
      </c>
      <c r="D48" t="inlineStr">
        <is>
          <t>44112</t>
        </is>
      </c>
      <c r="F48" t="inlineStr">
        <is>
          <t>M29111</t>
        </is>
      </c>
      <c r="H48" t="inlineStr">
        <is>
          <t>M2911100048</t>
        </is>
      </c>
      <c r="I48" t="inlineStr">
        <is>
          <t>SUPPLY CHAIN AND MATERIEL MANAGEMENT SPECIALIST</t>
        </is>
      </c>
      <c r="J48" t="inlineStr">
        <is>
          <t>SGT</t>
        </is>
      </c>
      <c r="K48" t="inlineStr">
        <is>
          <t>3047</t>
        </is>
      </c>
      <c r="L48" t="inlineStr">
        <is>
          <t>3047</t>
        </is>
      </c>
    </row>
    <row r="49">
      <c r="B49" t="n">
        <v>43</v>
      </c>
      <c r="C49" t="inlineStr">
        <is>
          <t>44112w</t>
        </is>
      </c>
      <c r="D49" t="inlineStr">
        <is>
          <t>44112</t>
        </is>
      </c>
      <c r="F49" t="inlineStr">
        <is>
          <t>M29111</t>
        </is>
      </c>
      <c r="H49" t="inlineStr">
        <is>
          <t>M2911100049</t>
        </is>
      </c>
      <c r="I49" t="inlineStr">
        <is>
          <t>SUPPLY CHAIN AND MATERIEL MANAGEMENT SPECIALIST</t>
        </is>
      </c>
      <c r="J49" t="inlineStr">
        <is>
          <t>SGT</t>
        </is>
      </c>
      <c r="K49" t="inlineStr">
        <is>
          <t>3047</t>
        </is>
      </c>
      <c r="L49" t="inlineStr">
        <is>
          <t>3047</t>
        </is>
      </c>
    </row>
    <row r="50">
      <c r="B50" t="n">
        <v>44</v>
      </c>
      <c r="C50" t="inlineStr">
        <is>
          <t>44112w</t>
        </is>
      </c>
      <c r="D50" t="inlineStr">
        <is>
          <t>44112</t>
        </is>
      </c>
      <c r="F50" t="inlineStr">
        <is>
          <t>M29111</t>
        </is>
      </c>
      <c r="H50" t="inlineStr">
        <is>
          <t>M2911100050</t>
        </is>
      </c>
      <c r="I50" t="inlineStr">
        <is>
          <t>SUPPLY CHAIN AND MATERIEL MANAGEMENT SPECIALIST</t>
        </is>
      </c>
      <c r="J50" t="inlineStr">
        <is>
          <t>CPL</t>
        </is>
      </c>
      <c r="K50" t="inlineStr">
        <is>
          <t>3043</t>
        </is>
      </c>
      <c r="L50" t="inlineStr">
        <is>
          <t>3043</t>
        </is>
      </c>
    </row>
    <row r="51">
      <c r="B51" t="n">
        <v>45</v>
      </c>
      <c r="C51" t="inlineStr">
        <is>
          <t>44112w</t>
        </is>
      </c>
      <c r="D51" t="inlineStr">
        <is>
          <t>44112</t>
        </is>
      </c>
      <c r="F51" t="inlineStr">
        <is>
          <t>M29111</t>
        </is>
      </c>
      <c r="H51" t="inlineStr">
        <is>
          <t>M2911100099</t>
        </is>
      </c>
      <c r="I51" t="inlineStr">
        <is>
          <t>SUPPLY CHAIN AND MATERIEL MANAGEMENT SPECIALIST</t>
        </is>
      </c>
      <c r="J51" t="inlineStr">
        <is>
          <t>CPL</t>
        </is>
      </c>
      <c r="K51" t="inlineStr">
        <is>
          <t>3043</t>
        </is>
      </c>
      <c r="L51" t="inlineStr">
        <is>
          <t>3043</t>
        </is>
      </c>
    </row>
    <row r="52">
      <c r="B52" t="n">
        <v>46</v>
      </c>
      <c r="C52" t="inlineStr">
        <is>
          <t>44112w</t>
        </is>
      </c>
      <c r="D52" t="inlineStr">
        <is>
          <t>44112</t>
        </is>
      </c>
      <c r="F52" t="inlineStr">
        <is>
          <t>M29111</t>
        </is>
      </c>
      <c r="H52" t="inlineStr">
        <is>
          <t>M2911100100</t>
        </is>
      </c>
      <c r="I52" t="inlineStr">
        <is>
          <t>SUPPLY CHAIN AND MATERIEL MANAGEMENT SPECIALIST</t>
        </is>
      </c>
      <c r="J52" t="inlineStr">
        <is>
          <t>CPL</t>
        </is>
      </c>
      <c r="K52" t="inlineStr">
        <is>
          <t>3043</t>
        </is>
      </c>
      <c r="L52" t="inlineStr">
        <is>
          <t>3043</t>
        </is>
      </c>
    </row>
    <row r="53">
      <c r="B53" t="n">
        <v>47</v>
      </c>
      <c r="C53" t="inlineStr">
        <is>
          <t>44112w</t>
        </is>
      </c>
      <c r="D53" t="inlineStr">
        <is>
          <t>44112</t>
        </is>
      </c>
      <c r="F53" t="inlineStr">
        <is>
          <t>M29111</t>
        </is>
      </c>
      <c r="H53" t="inlineStr">
        <is>
          <t>M2911100101</t>
        </is>
      </c>
      <c r="I53" t="inlineStr">
        <is>
          <t>SUPPLY CHAIN AND MATERIEL MANAGEMENT SPECIALIST</t>
        </is>
      </c>
      <c r="J53" t="inlineStr">
        <is>
          <t>CPL</t>
        </is>
      </c>
      <c r="K53" t="inlineStr">
        <is>
          <t>3043</t>
        </is>
      </c>
      <c r="L53" t="inlineStr">
        <is>
          <t>3043</t>
        </is>
      </c>
    </row>
    <row r="54">
      <c r="B54" t="n">
        <v>48</v>
      </c>
      <c r="C54" t="inlineStr">
        <is>
          <t>44112w</t>
        </is>
      </c>
      <c r="D54" t="inlineStr">
        <is>
          <t>44112</t>
        </is>
      </c>
      <c r="F54" t="inlineStr">
        <is>
          <t>M29111</t>
        </is>
      </c>
      <c r="H54" t="inlineStr">
        <is>
          <t>M2911100102</t>
        </is>
      </c>
      <c r="I54" t="inlineStr">
        <is>
          <t>SUPPLY CHAIN AND MATERIEL MANAGEMENT SPECIALIST</t>
        </is>
      </c>
      <c r="J54" t="inlineStr">
        <is>
          <t>CPL</t>
        </is>
      </c>
      <c r="K54" t="inlineStr">
        <is>
          <t>3043</t>
        </is>
      </c>
      <c r="L54" t="inlineStr">
        <is>
          <t>3043</t>
        </is>
      </c>
    </row>
    <row r="55">
      <c r="B55" t="n">
        <v>49</v>
      </c>
      <c r="C55" t="inlineStr">
        <is>
          <t>21710</t>
        </is>
      </c>
      <c r="D55" t="inlineStr">
        <is>
          <t>21710</t>
        </is>
      </c>
      <c r="F55" t="inlineStr">
        <is>
          <t>M29111</t>
        </is>
      </c>
      <c r="H55" t="inlineStr">
        <is>
          <t>M2911100052</t>
        </is>
      </c>
      <c r="I55" t="inlineStr">
        <is>
          <t>COMMUNICATIONS OFFICER</t>
        </is>
      </c>
      <c r="J55" t="inlineStr">
        <is>
          <t>1STLT</t>
        </is>
      </c>
      <c r="K55" t="inlineStr">
        <is>
          <t>0602</t>
        </is>
      </c>
      <c r="L55" t="inlineStr">
        <is>
          <t>0602</t>
        </is>
      </c>
    </row>
    <row r="56">
      <c r="B56" t="n">
        <v>50</v>
      </c>
      <c r="C56" t="inlineStr">
        <is>
          <t>21710</t>
        </is>
      </c>
      <c r="D56" t="inlineStr">
        <is>
          <t>21710</t>
        </is>
      </c>
      <c r="F56" t="inlineStr">
        <is>
          <t>M29111</t>
        </is>
      </c>
      <c r="H56" t="inlineStr">
        <is>
          <t>M2911100067</t>
        </is>
      </c>
      <c r="I56" t="inlineStr">
        <is>
          <t>COMMUNICATIONS CHIEF</t>
        </is>
      </c>
      <c r="J56" t="inlineStr">
        <is>
          <t>MSGT</t>
        </is>
      </c>
      <c r="K56" t="inlineStr">
        <is>
          <t>0699</t>
        </is>
      </c>
      <c r="L56" t="inlineStr">
        <is>
          <t>0699</t>
        </is>
      </c>
    </row>
    <row r="57">
      <c r="B57" t="n">
        <v>51</v>
      </c>
      <c r="C57" t="inlineStr">
        <is>
          <t>61072c</t>
        </is>
      </c>
      <c r="D57" t="inlineStr">
        <is>
          <t>61072</t>
        </is>
      </c>
      <c r="F57" t="inlineStr">
        <is>
          <t>M29111</t>
        </is>
      </c>
      <c r="H57" t="inlineStr">
        <is>
          <t>M2911100073</t>
        </is>
      </c>
      <c r="I57" t="inlineStr">
        <is>
          <t>NETWORK ADMINISTRATOR</t>
        </is>
      </c>
      <c r="J57" t="inlineStr">
        <is>
          <t>CPL</t>
        </is>
      </c>
      <c r="K57" t="inlineStr">
        <is>
          <t>0631</t>
        </is>
      </c>
      <c r="L57" t="inlineStr">
        <is>
          <t>0631</t>
        </is>
      </c>
    </row>
    <row r="58">
      <c r="B58" t="n">
        <v>52</v>
      </c>
      <c r="C58" t="inlineStr">
        <is>
          <t>61072c</t>
        </is>
      </c>
      <c r="D58" t="inlineStr">
        <is>
          <t>61072</t>
        </is>
      </c>
      <c r="F58" t="inlineStr">
        <is>
          <t>M29111</t>
        </is>
      </c>
      <c r="H58" t="inlineStr">
        <is>
          <t>M2911100074</t>
        </is>
      </c>
      <c r="I58" t="inlineStr">
        <is>
          <t>NETWORK ADMINISTRATOR</t>
        </is>
      </c>
      <c r="J58" t="inlineStr">
        <is>
          <t>CPL</t>
        </is>
      </c>
      <c r="K58" t="inlineStr">
        <is>
          <t>0631</t>
        </is>
      </c>
      <c r="L58" t="inlineStr">
        <is>
          <t>0631</t>
        </is>
      </c>
    </row>
    <row r="59">
      <c r="B59" t="n">
        <v>53</v>
      </c>
      <c r="C59" t="inlineStr">
        <is>
          <t>61072c</t>
        </is>
      </c>
      <c r="D59" t="inlineStr">
        <is>
          <t>61072</t>
        </is>
      </c>
      <c r="F59" t="inlineStr">
        <is>
          <t>M29111</t>
        </is>
      </c>
      <c r="H59" t="inlineStr">
        <is>
          <t>M2911100075</t>
        </is>
      </c>
      <c r="I59" t="inlineStr">
        <is>
          <t>NETWORK ADMINISTRATOR</t>
        </is>
      </c>
      <c r="J59" t="inlineStr">
        <is>
          <t>CPL</t>
        </is>
      </c>
      <c r="K59" t="inlineStr">
        <is>
          <t>0631</t>
        </is>
      </c>
      <c r="L59" t="inlineStr">
        <is>
          <t>0631</t>
        </is>
      </c>
    </row>
    <row r="60">
      <c r="B60" t="n">
        <v>54</v>
      </c>
      <c r="C60" t="inlineStr">
        <is>
          <t>21710shf</t>
        </is>
      </c>
      <c r="D60" t="inlineStr">
        <is>
          <t>21710</t>
        </is>
      </c>
      <c r="F60" t="inlineStr">
        <is>
          <t>M29111</t>
        </is>
      </c>
      <c r="H60" t="inlineStr">
        <is>
          <t>M2911100076</t>
        </is>
      </c>
      <c r="I60" t="inlineStr">
        <is>
          <t>SATELLITE TRANSMISSIONS SYSTEMS OPERATOR</t>
        </is>
      </c>
      <c r="J60" t="inlineStr">
        <is>
          <t>SGT</t>
        </is>
      </c>
      <c r="K60" t="inlineStr">
        <is>
          <t>0627</t>
        </is>
      </c>
      <c r="L60" t="inlineStr">
        <is>
          <t>0627</t>
        </is>
      </c>
    </row>
    <row r="61">
      <c r="B61" t="n">
        <v>55</v>
      </c>
      <c r="C61" t="inlineStr">
        <is>
          <t>21710shf</t>
        </is>
      </c>
      <c r="D61" t="inlineStr">
        <is>
          <t>21710</t>
        </is>
      </c>
      <c r="F61" t="inlineStr">
        <is>
          <t>M29111</t>
        </is>
      </c>
      <c r="H61" t="inlineStr">
        <is>
          <t>M2911100077</t>
        </is>
      </c>
      <c r="I61" t="inlineStr">
        <is>
          <t>SATELLITE COMMUNICATIONS OPERATOR</t>
        </is>
      </c>
      <c r="J61" t="inlineStr">
        <is>
          <t>LCPL</t>
        </is>
      </c>
      <c r="K61" t="inlineStr">
        <is>
          <t>0627</t>
        </is>
      </c>
      <c r="L61" t="inlineStr">
        <is>
          <t>0627</t>
        </is>
      </c>
    </row>
    <row r="62">
      <c r="B62" t="n">
        <v>56</v>
      </c>
      <c r="C62" t="inlineStr">
        <is>
          <t>21710ds</t>
        </is>
      </c>
      <c r="D62" t="inlineStr">
        <is>
          <t>21710</t>
        </is>
      </c>
      <c r="F62" t="inlineStr">
        <is>
          <t>M29111</t>
        </is>
      </c>
      <c r="H62" t="inlineStr">
        <is>
          <t>M2911100078</t>
        </is>
      </c>
      <c r="I62" t="inlineStr">
        <is>
          <t>GROUND ELECTRONICS TRANSMISSION SYSTEMS MAINTAINER</t>
        </is>
      </c>
      <c r="J62" t="inlineStr">
        <is>
          <t>LCPL</t>
        </is>
      </c>
      <c r="K62" t="inlineStr">
        <is>
          <t>2841</t>
        </is>
      </c>
      <c r="L62" t="inlineStr">
        <is>
          <t>2841</t>
        </is>
      </c>
    </row>
    <row r="63">
      <c r="B63" t="n">
        <v>57</v>
      </c>
      <c r="C63" t="inlineStr">
        <is>
          <t>21710ds</t>
        </is>
      </c>
      <c r="D63" t="inlineStr">
        <is>
          <t>21710</t>
        </is>
      </c>
      <c r="F63" t="inlineStr">
        <is>
          <t>M29111</t>
        </is>
      </c>
      <c r="H63" t="inlineStr">
        <is>
          <t>M2911100079</t>
        </is>
      </c>
      <c r="I63" t="inlineStr">
        <is>
          <t>GROUND ELECTRONICS TRANSMISSION SYSTEMS MAINTAINER</t>
        </is>
      </c>
      <c r="J63" t="inlineStr">
        <is>
          <t>LCPL</t>
        </is>
      </c>
      <c r="K63" t="inlineStr">
        <is>
          <t>2841</t>
        </is>
      </c>
      <c r="L63" t="inlineStr">
        <is>
          <t>2841</t>
        </is>
      </c>
    </row>
    <row r="64">
      <c r="B64" t="n">
        <v>58</v>
      </c>
      <c r="C64" t="inlineStr">
        <is>
          <t>21710ds</t>
        </is>
      </c>
      <c r="D64" t="inlineStr">
        <is>
          <t>21710</t>
        </is>
      </c>
      <c r="F64" t="inlineStr">
        <is>
          <t>M29111</t>
        </is>
      </c>
      <c r="H64" t="inlineStr">
        <is>
          <t>M2911100098</t>
        </is>
      </c>
      <c r="I64" t="inlineStr">
        <is>
          <t>GROUND ELECTRONICS TRANSMISSION SYSTEMS MAINTAINER</t>
        </is>
      </c>
      <c r="J64" t="inlineStr">
        <is>
          <t>LCPL</t>
        </is>
      </c>
      <c r="K64" t="inlineStr">
        <is>
          <t>2841</t>
        </is>
      </c>
      <c r="L64" t="inlineStr">
        <is>
          <t>2841</t>
        </is>
      </c>
    </row>
    <row r="65">
      <c r="B65" t="n">
        <v>59</v>
      </c>
      <c r="C65" t="inlineStr">
        <is>
          <t>21710ds</t>
        </is>
      </c>
      <c r="D65" t="inlineStr">
        <is>
          <t>21710</t>
        </is>
      </c>
      <c r="F65" t="inlineStr">
        <is>
          <t>M29111</t>
        </is>
      </c>
      <c r="H65" t="inlineStr">
        <is>
          <t>M2911100080</t>
        </is>
      </c>
      <c r="I65" t="inlineStr">
        <is>
          <t>GROUND ELECTRONICS TRANSMISSION SYSTEMS MAINTAINER</t>
        </is>
      </c>
      <c r="J65" t="inlineStr">
        <is>
          <t>LCPL</t>
        </is>
      </c>
      <c r="K65" t="inlineStr">
        <is>
          <t>2841</t>
        </is>
      </c>
      <c r="L65" t="inlineStr">
        <is>
          <t>2841</t>
        </is>
      </c>
    </row>
    <row r="66">
      <c r="B66" t="n">
        <v>60</v>
      </c>
      <c r="C66" t="inlineStr">
        <is>
          <t>21710ds</t>
        </is>
      </c>
      <c r="D66" t="inlineStr">
        <is>
          <t>21710</t>
        </is>
      </c>
      <c r="F66" t="inlineStr">
        <is>
          <t>M29111</t>
        </is>
      </c>
      <c r="H66" t="inlineStr">
        <is>
          <t>M2911100085</t>
        </is>
      </c>
      <c r="I66" t="inlineStr">
        <is>
          <t>GROUND ELECTRONICS TRANSMISSION SYSTEMS MAINTAINER</t>
        </is>
      </c>
      <c r="J66" t="inlineStr">
        <is>
          <t>SGT</t>
        </is>
      </c>
      <c r="K66" t="inlineStr">
        <is>
          <t>2847</t>
        </is>
      </c>
      <c r="L66" t="inlineStr">
        <is>
          <t>2847</t>
        </is>
      </c>
    </row>
    <row r="67">
      <c r="B67" t="n">
        <v>61</v>
      </c>
      <c r="C67" t="inlineStr">
        <is>
          <t>61072c</t>
        </is>
      </c>
      <c r="D67" t="inlineStr">
        <is>
          <t>61072</t>
        </is>
      </c>
      <c r="F67" t="inlineStr">
        <is>
          <t>M29111</t>
        </is>
      </c>
      <c r="H67" t="inlineStr">
        <is>
          <t>M2911100094</t>
        </is>
      </c>
      <c r="I67" t="inlineStr">
        <is>
          <t>DATA SYSTEMS ADMINISTRATOR</t>
        </is>
      </c>
      <c r="J67" t="inlineStr">
        <is>
          <t>SGT</t>
        </is>
      </c>
      <c r="K67" t="inlineStr">
        <is>
          <t>0671</t>
        </is>
      </c>
      <c r="L67" t="inlineStr">
        <is>
          <t>0671</t>
        </is>
      </c>
    </row>
    <row r="68">
      <c r="B68" t="n">
        <v>62</v>
      </c>
      <c r="C68" t="inlineStr">
        <is>
          <t>61072c</t>
        </is>
      </c>
      <c r="D68" t="inlineStr">
        <is>
          <t>61072</t>
        </is>
      </c>
      <c r="F68" t="inlineStr">
        <is>
          <t>M29111</t>
        </is>
      </c>
      <c r="H68" t="inlineStr">
        <is>
          <t>M2911100095</t>
        </is>
      </c>
      <c r="I68" t="inlineStr">
        <is>
          <t>DATA SYSTEMS ADMINISTRATOR</t>
        </is>
      </c>
      <c r="J68" t="inlineStr">
        <is>
          <t>SGT</t>
        </is>
      </c>
      <c r="K68" t="inlineStr">
        <is>
          <t>0671</t>
        </is>
      </c>
      <c r="L68" t="inlineStr">
        <is>
          <t>0671</t>
        </is>
      </c>
    </row>
    <row r="69">
      <c r="B69" t="n">
        <v>63</v>
      </c>
      <c r="C69" t="inlineStr">
        <is>
          <t>61072c</t>
        </is>
      </c>
      <c r="D69" t="inlineStr">
        <is>
          <t>61072</t>
        </is>
      </c>
      <c r="F69" t="inlineStr">
        <is>
          <t>M29111</t>
        </is>
      </c>
      <c r="H69" t="inlineStr">
        <is>
          <t>M2911100096</t>
        </is>
      </c>
      <c r="I69" t="inlineStr">
        <is>
          <t>DATA SYSTEMS ADMINISTRATOR</t>
        </is>
      </c>
      <c r="J69" t="inlineStr">
        <is>
          <t>SGT</t>
        </is>
      </c>
      <c r="K69" t="inlineStr">
        <is>
          <t>0671</t>
        </is>
      </c>
      <c r="L69" t="inlineStr">
        <is>
          <t>0671</t>
        </is>
      </c>
    </row>
    <row r="70">
      <c r="B70" t="n">
        <v>64</v>
      </c>
      <c r="C70" t="inlineStr">
        <is>
          <t>61072c</t>
        </is>
      </c>
      <c r="D70" t="inlineStr">
        <is>
          <t>61072</t>
        </is>
      </c>
      <c r="F70" t="inlineStr">
        <is>
          <t>M29111</t>
        </is>
      </c>
      <c r="H70" t="inlineStr">
        <is>
          <t>M2911100097</t>
        </is>
      </c>
      <c r="I70" t="inlineStr">
        <is>
          <t>DATA SYSTEMS ADMINISTRATOR</t>
        </is>
      </c>
      <c r="J70" t="inlineStr">
        <is>
          <t>SGT</t>
        </is>
      </c>
      <c r="K70" t="inlineStr">
        <is>
          <t>0671</t>
        </is>
      </c>
      <c r="L70" t="inlineStr">
        <is>
          <t>0671</t>
        </is>
      </c>
    </row>
    <row r="71">
      <c r="B71" t="n">
        <v>65</v>
      </c>
      <c r="C71" t="inlineStr">
        <is>
          <t>61072c</t>
        </is>
      </c>
      <c r="D71" t="inlineStr">
        <is>
          <t>61072</t>
        </is>
      </c>
      <c r="F71" t="inlineStr">
        <is>
          <t>M29111</t>
        </is>
      </c>
      <c r="H71" t="inlineStr">
        <is>
          <t>M2911100087</t>
        </is>
      </c>
      <c r="I71" t="inlineStr">
        <is>
          <t>DATA SYSTEMS ADMINISTRATOR</t>
        </is>
      </c>
      <c r="J71" t="inlineStr">
        <is>
          <t>CPL</t>
        </is>
      </c>
      <c r="K71" t="inlineStr">
        <is>
          <t>0671</t>
        </is>
      </c>
      <c r="L71" t="inlineStr">
        <is>
          <t>0671</t>
        </is>
      </c>
    </row>
    <row r="72">
      <c r="B72" t="n">
        <v>66</v>
      </c>
      <c r="C72" t="inlineStr">
        <is>
          <t>61072c</t>
        </is>
      </c>
      <c r="D72" t="inlineStr">
        <is>
          <t>61072</t>
        </is>
      </c>
      <c r="F72" t="inlineStr">
        <is>
          <t>M29111</t>
        </is>
      </c>
      <c r="H72" t="inlineStr">
        <is>
          <t>M2911100093</t>
        </is>
      </c>
      <c r="I72" t="inlineStr">
        <is>
          <t>DATA SYSTEMS ADMINISTRATOR</t>
        </is>
      </c>
      <c r="J72" t="inlineStr">
        <is>
          <t>CPL</t>
        </is>
      </c>
      <c r="K72" t="inlineStr">
        <is>
          <t>0671</t>
        </is>
      </c>
      <c r="L72" t="inlineStr">
        <is>
          <t>0671</t>
        </is>
      </c>
    </row>
    <row r="73">
      <c r="B73" t="n">
        <v>67</v>
      </c>
      <c r="C73" t="inlineStr">
        <is>
          <t>61072c</t>
        </is>
      </c>
      <c r="D73" t="inlineStr">
        <is>
          <t>61072</t>
        </is>
      </c>
      <c r="F73" t="inlineStr">
        <is>
          <t>M29111</t>
        </is>
      </c>
      <c r="H73" t="inlineStr">
        <is>
          <t>M2911100081</t>
        </is>
      </c>
      <c r="I73" t="inlineStr">
        <is>
          <t>DATA SYSTEMS ADMINISTRATOR</t>
        </is>
      </c>
      <c r="J73" t="inlineStr">
        <is>
          <t>SGT</t>
        </is>
      </c>
      <c r="K73" t="inlineStr">
        <is>
          <t>0671</t>
        </is>
      </c>
      <c r="L73" t="inlineStr">
        <is>
          <t>0671</t>
        </is>
      </c>
    </row>
    <row r="74">
      <c r="B74" t="n">
        <v>68</v>
      </c>
      <c r="C74" t="inlineStr">
        <is>
          <t>61072c</t>
        </is>
      </c>
      <c r="D74" t="inlineStr">
        <is>
          <t>61072</t>
        </is>
      </c>
      <c r="F74" t="inlineStr">
        <is>
          <t>M29111</t>
        </is>
      </c>
      <c r="H74" t="inlineStr">
        <is>
          <t>M2911100082</t>
        </is>
      </c>
      <c r="I74" t="inlineStr">
        <is>
          <t>DATA SYSTEMS ADMINISTRATOR</t>
        </is>
      </c>
      <c r="J74" t="inlineStr">
        <is>
          <t>CPL</t>
        </is>
      </c>
      <c r="K74" t="inlineStr">
        <is>
          <t>0671</t>
        </is>
      </c>
      <c r="L74" t="inlineStr">
        <is>
          <t>0671</t>
        </is>
      </c>
    </row>
    <row r="75">
      <c r="B75" t="n">
        <v>69</v>
      </c>
      <c r="C75" t="inlineStr">
        <is>
          <t>61072c</t>
        </is>
      </c>
      <c r="D75" t="inlineStr">
        <is>
          <t>61072</t>
        </is>
      </c>
      <c r="F75" t="inlineStr">
        <is>
          <t>M29111</t>
        </is>
      </c>
      <c r="H75" t="inlineStr">
        <is>
          <t>M2911100083</t>
        </is>
      </c>
      <c r="I75" t="inlineStr">
        <is>
          <t>DATA SYSTEMS ADMINISTRATOR</t>
        </is>
      </c>
      <c r="J75" t="inlineStr">
        <is>
          <t>LCPL</t>
        </is>
      </c>
      <c r="K75" t="inlineStr">
        <is>
          <t>0671</t>
        </is>
      </c>
      <c r="L75" t="inlineStr">
        <is>
          <t>0671</t>
        </is>
      </c>
    </row>
    <row r="76">
      <c r="B76" t="n">
        <v>70</v>
      </c>
      <c r="C76" t="inlineStr">
        <is>
          <t>61072c</t>
        </is>
      </c>
      <c r="D76" t="inlineStr">
        <is>
          <t>61072</t>
        </is>
      </c>
      <c r="F76" t="inlineStr">
        <is>
          <t>M29111</t>
        </is>
      </c>
      <c r="H76" t="inlineStr">
        <is>
          <t>M2911100084</t>
        </is>
      </c>
      <c r="I76" t="inlineStr">
        <is>
          <t>DATA SYSTEMS ADMINISTRATOR</t>
        </is>
      </c>
      <c r="J76" t="inlineStr">
        <is>
          <t>LCPL</t>
        </is>
      </c>
      <c r="K76" t="inlineStr">
        <is>
          <t>0671</t>
        </is>
      </c>
      <c r="L76" t="inlineStr">
        <is>
          <t>0671</t>
        </is>
      </c>
    </row>
    <row r="77">
      <c r="B77" t="n">
        <v>71</v>
      </c>
      <c r="C77" t="inlineStr">
        <is>
          <t>21710</t>
        </is>
      </c>
      <c r="D77" t="inlineStr">
        <is>
          <t>21710</t>
        </is>
      </c>
      <c r="F77" t="inlineStr">
        <is>
          <t>M29111</t>
        </is>
      </c>
      <c r="H77" t="inlineStr">
        <is>
          <t>M2911100088</t>
        </is>
      </c>
      <c r="I77" t="inlineStr">
        <is>
          <t>TRANSMISSIONS SYSTEMS OPERATOR</t>
        </is>
      </c>
      <c r="J77" t="inlineStr">
        <is>
          <t>SGT</t>
        </is>
      </c>
      <c r="K77" t="inlineStr">
        <is>
          <t>0621</t>
        </is>
      </c>
      <c r="L77" t="inlineStr">
        <is>
          <t>0621</t>
        </is>
      </c>
    </row>
    <row r="78">
      <c r="B78" t="n">
        <v>72</v>
      </c>
      <c r="C78" t="inlineStr">
        <is>
          <t>21710</t>
        </is>
      </c>
      <c r="D78" t="inlineStr">
        <is>
          <t>21710</t>
        </is>
      </c>
      <c r="F78" t="inlineStr">
        <is>
          <t>M29111</t>
        </is>
      </c>
      <c r="H78" t="inlineStr">
        <is>
          <t>M2911100089</t>
        </is>
      </c>
      <c r="I78" t="inlineStr">
        <is>
          <t>TRANSMISSIONS SYSTEMS OPERATOR</t>
        </is>
      </c>
      <c r="J78" t="inlineStr">
        <is>
          <t>CPL</t>
        </is>
      </c>
      <c r="K78" t="inlineStr">
        <is>
          <t>0621</t>
        </is>
      </c>
      <c r="L78" t="inlineStr">
        <is>
          <t>0621</t>
        </is>
      </c>
    </row>
    <row r="79">
      <c r="B79" t="n">
        <v>73</v>
      </c>
      <c r="C79" t="inlineStr">
        <is>
          <t>21710</t>
        </is>
      </c>
      <c r="D79" t="inlineStr">
        <is>
          <t>21710</t>
        </is>
      </c>
      <c r="F79" t="inlineStr">
        <is>
          <t>M29111</t>
        </is>
      </c>
      <c r="H79" t="inlineStr">
        <is>
          <t>M2911100090</t>
        </is>
      </c>
      <c r="I79" t="inlineStr">
        <is>
          <t>TRANSMISSIONS SYSTEMS OPERATOR</t>
        </is>
      </c>
      <c r="J79" t="inlineStr">
        <is>
          <t>LCPL</t>
        </is>
      </c>
      <c r="K79" t="inlineStr">
        <is>
          <t>0621</t>
        </is>
      </c>
      <c r="L79" t="inlineStr">
        <is>
          <t>0621</t>
        </is>
      </c>
    </row>
    <row r="80">
      <c r="B80" t="n">
        <v>74</v>
      </c>
      <c r="C80" t="inlineStr">
        <is>
          <t>21710</t>
        </is>
      </c>
      <c r="D80" t="inlineStr">
        <is>
          <t>21710</t>
        </is>
      </c>
      <c r="F80" t="inlineStr">
        <is>
          <t>M29111</t>
        </is>
      </c>
      <c r="H80" t="inlineStr">
        <is>
          <t>M2911100091</t>
        </is>
      </c>
      <c r="I80" t="inlineStr">
        <is>
          <t>TRANSMISSIONS SYSTEMS OPERATOR</t>
        </is>
      </c>
      <c r="J80" t="inlineStr">
        <is>
          <t>LCPL</t>
        </is>
      </c>
      <c r="K80" t="inlineStr">
        <is>
          <t>0621</t>
        </is>
      </c>
      <c r="L80" t="inlineStr">
        <is>
          <t>0621</t>
        </is>
      </c>
    </row>
    <row r="81">
      <c r="B81" t="n">
        <v>75</v>
      </c>
      <c r="C81" t="inlineStr">
        <is>
          <t>14326</t>
        </is>
      </c>
      <c r="D81" t="inlineStr">
        <is>
          <t>14326</t>
        </is>
      </c>
      <c r="F81" t="inlineStr">
        <is>
          <t>M29111</t>
        </is>
      </c>
      <c r="H81" t="inlineStr">
        <is>
          <t>M2911100056</t>
        </is>
      </c>
      <c r="I81" t="inlineStr">
        <is>
          <t>PHYSICIAN ASST</t>
        </is>
      </c>
      <c r="J81" t="inlineStr">
        <is>
          <t>LT</t>
        </is>
      </c>
      <c r="K81" t="inlineStr">
        <is>
          <t>2300</t>
        </is>
      </c>
      <c r="L81" t="inlineStr">
        <is>
          <t>2300</t>
        </is>
      </c>
    </row>
    <row r="82">
      <c r="B82" t="n">
        <v>76</v>
      </c>
      <c r="C82" t="inlineStr"/>
      <c r="D82" t="inlineStr"/>
      <c r="F82" t="inlineStr">
        <is>
          <t>M29111</t>
        </is>
      </c>
      <c r="H82" t="inlineStr">
        <is>
          <t>M2911100057</t>
        </is>
      </c>
      <c r="I82" t="inlineStr">
        <is>
          <t>SURFACE IDC</t>
        </is>
      </c>
      <c r="J82" t="inlineStr">
        <is>
          <t>HM1</t>
        </is>
      </c>
      <c r="K82" t="inlineStr">
        <is>
          <t>L10A</t>
        </is>
      </c>
      <c r="L82" t="inlineStr">
        <is>
          <t>L03A</t>
        </is>
      </c>
    </row>
    <row r="83">
      <c r="B83" t="n">
        <v>77</v>
      </c>
      <c r="C83" t="inlineStr"/>
      <c r="D83" t="inlineStr"/>
      <c r="F83" t="inlineStr">
        <is>
          <t>M29111</t>
        </is>
      </c>
      <c r="H83" t="inlineStr">
        <is>
          <t>M2911100058</t>
        </is>
      </c>
      <c r="I83" t="inlineStr">
        <is>
          <t>FLD MED TECH</t>
        </is>
      </c>
      <c r="J83" t="inlineStr">
        <is>
          <t>HMC</t>
        </is>
      </c>
      <c r="K83" t="inlineStr">
        <is>
          <t>L03A</t>
        </is>
      </c>
      <c r="L83" t="inlineStr">
        <is>
          <t>L03A</t>
        </is>
      </c>
    </row>
    <row r="84">
      <c r="B84" t="n">
        <v>78</v>
      </c>
      <c r="C84" t="inlineStr"/>
      <c r="D84" t="inlineStr"/>
      <c r="F84" t="inlineStr">
        <is>
          <t>M29111</t>
        </is>
      </c>
      <c r="H84" t="inlineStr">
        <is>
          <t>M2911100059</t>
        </is>
      </c>
      <c r="I84" t="inlineStr">
        <is>
          <t>FLD MED TECH</t>
        </is>
      </c>
      <c r="J84" t="inlineStr">
        <is>
          <t>HM2</t>
        </is>
      </c>
      <c r="K84" t="inlineStr">
        <is>
          <t>L03A</t>
        </is>
      </c>
      <c r="L84" t="inlineStr">
        <is>
          <t>L03A</t>
        </is>
      </c>
    </row>
    <row r="85">
      <c r="B85" t="n">
        <v>79</v>
      </c>
      <c r="C85" t="inlineStr"/>
      <c r="D85" t="inlineStr"/>
      <c r="F85" t="inlineStr">
        <is>
          <t>M29111</t>
        </is>
      </c>
      <c r="H85" t="inlineStr">
        <is>
          <t>M2911100060</t>
        </is>
      </c>
      <c r="I85" t="inlineStr">
        <is>
          <t>FLD MED TECH</t>
        </is>
      </c>
      <c r="J85" t="inlineStr">
        <is>
          <t>HM3</t>
        </is>
      </c>
      <c r="K85" t="inlineStr">
        <is>
          <t>L03A</t>
        </is>
      </c>
      <c r="L85" t="inlineStr">
        <is>
          <t>L03A</t>
        </is>
      </c>
    </row>
    <row r="86">
      <c r="B86" t="n">
        <v>80</v>
      </c>
      <c r="C86" t="inlineStr"/>
      <c r="D86" t="inlineStr"/>
      <c r="F86" t="inlineStr">
        <is>
          <t>M29111</t>
        </is>
      </c>
      <c r="H86" t="inlineStr">
        <is>
          <t>M2911100061</t>
        </is>
      </c>
      <c r="I86" t="inlineStr">
        <is>
          <t>FLD MED TECH</t>
        </is>
      </c>
      <c r="J86" t="inlineStr">
        <is>
          <t>HM3</t>
        </is>
      </c>
      <c r="K86" t="inlineStr">
        <is>
          <t>L03A</t>
        </is>
      </c>
      <c r="L86" t="inlineStr">
        <is>
          <t>L03A</t>
        </is>
      </c>
    </row>
    <row r="87">
      <c r="B87" t="n">
        <v>81</v>
      </c>
      <c r="C87" t="inlineStr"/>
      <c r="D87" t="inlineStr"/>
      <c r="F87" t="inlineStr">
        <is>
          <t>M29111</t>
        </is>
      </c>
      <c r="H87" t="inlineStr">
        <is>
          <t>M2911100062</t>
        </is>
      </c>
      <c r="I87" t="inlineStr">
        <is>
          <t>FLD MED TECH</t>
        </is>
      </c>
      <c r="J87" t="inlineStr">
        <is>
          <t>HM3</t>
        </is>
      </c>
      <c r="K87" t="inlineStr">
        <is>
          <t>L03A</t>
        </is>
      </c>
      <c r="L87" t="inlineStr">
        <is>
          <t>L03A</t>
        </is>
      </c>
    </row>
    <row r="88">
      <c r="B88" t="n">
        <v>82</v>
      </c>
      <c r="C88" t="inlineStr"/>
      <c r="D88" t="inlineStr"/>
      <c r="F88" t="inlineStr">
        <is>
          <t>M29111</t>
        </is>
      </c>
      <c r="H88" t="inlineStr">
        <is>
          <t>M2911100063</t>
        </is>
      </c>
      <c r="I88" t="inlineStr">
        <is>
          <t>FLD MED TECH</t>
        </is>
      </c>
      <c r="J88" t="inlineStr">
        <is>
          <t>HM3</t>
        </is>
      </c>
      <c r="K88" t="inlineStr">
        <is>
          <t>L03A</t>
        </is>
      </c>
      <c r="L88" t="inlineStr">
        <is>
          <t>L03A</t>
        </is>
      </c>
    </row>
    <row r="89">
      <c r="B89" t="n">
        <v>83</v>
      </c>
      <c r="C89" t="inlineStr"/>
      <c r="D89" t="inlineStr"/>
      <c r="F89" t="inlineStr">
        <is>
          <t>M29111</t>
        </is>
      </c>
      <c r="H89" t="inlineStr">
        <is>
          <t>M2911100064</t>
        </is>
      </c>
      <c r="I89" t="inlineStr">
        <is>
          <t>FLD MED TECH</t>
        </is>
      </c>
      <c r="J89" t="inlineStr">
        <is>
          <t>HN</t>
        </is>
      </c>
      <c r="K89" t="inlineStr">
        <is>
          <t>L03A</t>
        </is>
      </c>
      <c r="L89" t="inlineStr">
        <is>
          <t>L03A</t>
        </is>
      </c>
    </row>
    <row r="90">
      <c r="B90" t="n">
        <v>84</v>
      </c>
      <c r="C90" t="inlineStr"/>
      <c r="D90" t="inlineStr"/>
      <c r="F90" t="inlineStr">
        <is>
          <t>M29111</t>
        </is>
      </c>
      <c r="H90" t="inlineStr">
        <is>
          <t>M2911100065</t>
        </is>
      </c>
      <c r="I90" t="inlineStr">
        <is>
          <t>FLD MED TECH</t>
        </is>
      </c>
      <c r="J90" t="inlineStr">
        <is>
          <t>HN</t>
        </is>
      </c>
      <c r="K90" t="inlineStr">
        <is>
          <t>L03A</t>
        </is>
      </c>
      <c r="L90" t="inlineStr">
        <is>
          <t>L03A</t>
        </is>
      </c>
    </row>
    <row r="91">
      <c r="B91" t="n">
        <v>85</v>
      </c>
      <c r="C91" t="inlineStr"/>
      <c r="D91" t="inlineStr"/>
      <c r="F91" t="inlineStr">
        <is>
          <t>M29111</t>
        </is>
      </c>
      <c r="H91" t="inlineStr">
        <is>
          <t>M2911100066</t>
        </is>
      </c>
      <c r="I91" t="inlineStr">
        <is>
          <t>FLD MED TECH</t>
        </is>
      </c>
      <c r="J91" t="inlineStr">
        <is>
          <t>HN</t>
        </is>
      </c>
      <c r="K91" t="inlineStr">
        <is>
          <t>L03A</t>
        </is>
      </c>
      <c r="L91" t="inlineStr">
        <is>
          <t>L03A</t>
        </is>
      </c>
    </row>
    <row r="92">
      <c r="B92" t="n">
        <v>86</v>
      </c>
      <c r="C92" t="inlineStr">
        <is>
          <t>44112w</t>
        </is>
      </c>
      <c r="D92" t="inlineStr">
        <is>
          <t>44112</t>
        </is>
      </c>
      <c r="F92" t="inlineStr">
        <is>
          <t>M29112</t>
        </is>
      </c>
      <c r="H92" t="inlineStr">
        <is>
          <t>M2911200126</t>
        </is>
      </c>
      <c r="I92" t="inlineStr">
        <is>
          <t>COMPANY COMMANDER</t>
        </is>
      </c>
      <c r="J92" t="inlineStr">
        <is>
          <t>CAPT</t>
        </is>
      </c>
      <c r="K92" t="inlineStr">
        <is>
          <t>0402</t>
        </is>
      </c>
      <c r="L92" t="inlineStr">
        <is>
          <t>0402</t>
        </is>
      </c>
    </row>
    <row r="93">
      <c r="B93" t="n">
        <v>87</v>
      </c>
      <c r="C93" t="inlineStr">
        <is>
          <t>61072o</t>
        </is>
      </c>
      <c r="D93" t="inlineStr">
        <is>
          <t>61072</t>
        </is>
      </c>
      <c r="F93" t="inlineStr">
        <is>
          <t>M29112</t>
        </is>
      </c>
      <c r="H93" t="inlineStr">
        <is>
          <t>M2911200127</t>
        </is>
      </c>
      <c r="I93" t="inlineStr">
        <is>
          <t>EXECUTIVE OFFICER</t>
        </is>
      </c>
      <c r="J93" t="inlineStr">
        <is>
          <t>1STLT</t>
        </is>
      </c>
      <c r="K93" t="inlineStr">
        <is>
          <t>1302</t>
        </is>
      </c>
      <c r="L93" t="inlineStr">
        <is>
          <t>1302</t>
        </is>
      </c>
    </row>
    <row r="94">
      <c r="B94" t="n">
        <v>88</v>
      </c>
      <c r="C94" t="inlineStr">
        <is>
          <t>61072o</t>
        </is>
      </c>
      <c r="D94" t="inlineStr">
        <is>
          <t>61072</t>
        </is>
      </c>
      <c r="F94" t="inlineStr">
        <is>
          <t>M29112</t>
        </is>
      </c>
      <c r="H94" t="inlineStr">
        <is>
          <t>M2911200123</t>
        </is>
      </c>
      <c r="I94" t="inlineStr">
        <is>
          <t>UNIT SENIOR ENLISTED LEADER</t>
        </is>
      </c>
      <c r="J94" t="inlineStr">
        <is>
          <t>1STSGT</t>
        </is>
      </c>
      <c r="K94" t="inlineStr">
        <is>
          <t>8999</t>
        </is>
      </c>
      <c r="L94" t="inlineStr">
        <is>
          <t>8999</t>
        </is>
      </c>
    </row>
    <row r="95">
      <c r="B95" t="n">
        <v>89</v>
      </c>
      <c r="C95" t="inlineStr">
        <is>
          <t>61072o</t>
        </is>
      </c>
      <c r="D95" t="inlineStr">
        <is>
          <t>61072</t>
        </is>
      </c>
      <c r="F95" t="inlineStr">
        <is>
          <t>M29112</t>
        </is>
      </c>
      <c r="H95" t="inlineStr">
        <is>
          <t>M2911200124</t>
        </is>
      </c>
      <c r="I95" t="inlineStr">
        <is>
          <t>OPERATIONS CHIEF</t>
        </is>
      </c>
      <c r="J95" t="inlineStr">
        <is>
          <t>GYSGT</t>
        </is>
      </c>
      <c r="K95" t="inlineStr">
        <is>
          <t>0477</t>
        </is>
      </c>
      <c r="L95" t="inlineStr">
        <is>
          <t>3537</t>
        </is>
      </c>
    </row>
    <row r="96">
      <c r="B96" t="n">
        <v>90</v>
      </c>
      <c r="C96" t="inlineStr">
        <is>
          <t>21451</t>
        </is>
      </c>
      <c r="D96" t="inlineStr">
        <is>
          <t>21451</t>
        </is>
      </c>
      <c r="F96" t="inlineStr">
        <is>
          <t>M29112</t>
        </is>
      </c>
      <c r="H96" t="inlineStr">
        <is>
          <t>M2911200125</t>
        </is>
      </c>
      <c r="I96" t="inlineStr">
        <is>
          <t>COMPANY CLERK</t>
        </is>
      </c>
      <c r="J96" t="inlineStr">
        <is>
          <t>SGT</t>
        </is>
      </c>
      <c r="K96" t="inlineStr">
        <is>
          <t>3531</t>
        </is>
      </c>
      <c r="L96" t="inlineStr">
        <is>
          <t>3531</t>
        </is>
      </c>
    </row>
    <row r="97">
      <c r="B97" t="n">
        <v>91</v>
      </c>
      <c r="C97" t="inlineStr">
        <is>
          <t>44112w</t>
        </is>
      </c>
      <c r="D97" t="inlineStr">
        <is>
          <t>44112</t>
        </is>
      </c>
      <c r="F97" t="inlineStr">
        <is>
          <t>M29112</t>
        </is>
      </c>
      <c r="H97" t="inlineStr">
        <is>
          <t>M2911200364</t>
        </is>
      </c>
      <c r="I97" t="inlineStr">
        <is>
          <t>COMPANY CLERK</t>
        </is>
      </c>
      <c r="J97" t="inlineStr">
        <is>
          <t>LCPL</t>
        </is>
      </c>
      <c r="K97" t="inlineStr">
        <is>
          <t>0441</t>
        </is>
      </c>
      <c r="L97" t="inlineStr">
        <is>
          <t>0441</t>
        </is>
      </c>
    </row>
    <row r="98">
      <c r="B98" t="n">
        <v>92</v>
      </c>
      <c r="C98" t="inlineStr"/>
      <c r="D98" t="inlineStr"/>
      <c r="F98" t="inlineStr">
        <is>
          <t>M29112</t>
        </is>
      </c>
      <c r="H98" t="inlineStr">
        <is>
          <t>M2911200472</t>
        </is>
      </c>
      <c r="I98" t="inlineStr">
        <is>
          <t>FOOD SERVICE SPECIALIST</t>
        </is>
      </c>
      <c r="J98" t="inlineStr">
        <is>
          <t>CPL</t>
        </is>
      </c>
      <c r="K98" t="inlineStr">
        <is>
          <t>3381</t>
        </is>
      </c>
      <c r="L98" t="inlineStr">
        <is>
          <t>3381</t>
        </is>
      </c>
    </row>
    <row r="99">
      <c r="B99" t="n">
        <v>93</v>
      </c>
      <c r="C99" t="inlineStr"/>
      <c r="D99" t="inlineStr"/>
      <c r="F99" t="inlineStr">
        <is>
          <t>M29112</t>
        </is>
      </c>
      <c r="H99" t="inlineStr">
        <is>
          <t>M2911200473</t>
        </is>
      </c>
      <c r="I99" t="inlineStr">
        <is>
          <t>FOOD SERVICE SPECIALIST</t>
        </is>
      </c>
      <c r="J99" t="inlineStr">
        <is>
          <t>LCPL</t>
        </is>
      </c>
      <c r="K99" t="inlineStr">
        <is>
          <t>3381</t>
        </is>
      </c>
      <c r="L99" t="inlineStr">
        <is>
          <t>3381</t>
        </is>
      </c>
    </row>
    <row r="100">
      <c r="B100" t="n">
        <v>94</v>
      </c>
      <c r="C100" t="inlineStr">
        <is>
          <t>21710</t>
        </is>
      </c>
      <c r="D100" t="inlineStr">
        <is>
          <t>21710</t>
        </is>
      </c>
      <c r="F100" t="inlineStr">
        <is>
          <t>M29112</t>
        </is>
      </c>
      <c r="H100" t="inlineStr">
        <is>
          <t>M2911200474</t>
        </is>
      </c>
      <c r="I100" t="inlineStr">
        <is>
          <t>TRANSMISSIONS SYSTEMS OPERATOR</t>
        </is>
      </c>
      <c r="J100" t="inlineStr">
        <is>
          <t>SGT</t>
        </is>
      </c>
      <c r="K100" t="inlineStr">
        <is>
          <t>0621</t>
        </is>
      </c>
      <c r="L100" t="inlineStr">
        <is>
          <t>0621</t>
        </is>
      </c>
    </row>
    <row r="101">
      <c r="B101" t="n">
        <v>95</v>
      </c>
      <c r="C101" t="inlineStr">
        <is>
          <t>61072c</t>
        </is>
      </c>
      <c r="D101" t="inlineStr">
        <is>
          <t>61072</t>
        </is>
      </c>
      <c r="F101" t="inlineStr">
        <is>
          <t>M29112</t>
        </is>
      </c>
      <c r="H101" t="inlineStr">
        <is>
          <t>M2911200436</t>
        </is>
      </c>
      <c r="I101" t="inlineStr">
        <is>
          <t>DATA SYSTEMS ADMINISTRATOR</t>
        </is>
      </c>
      <c r="J101" t="inlineStr">
        <is>
          <t>CPL</t>
        </is>
      </c>
      <c r="K101" t="inlineStr">
        <is>
          <t>0671</t>
        </is>
      </c>
      <c r="L101" t="inlineStr">
        <is>
          <t>0671</t>
        </is>
      </c>
    </row>
    <row r="102">
      <c r="B102" t="n">
        <v>96</v>
      </c>
      <c r="C102" t="inlineStr">
        <is>
          <t>21710shf</t>
        </is>
      </c>
      <c r="D102" t="inlineStr">
        <is>
          <t>21710</t>
        </is>
      </c>
      <c r="F102" t="inlineStr">
        <is>
          <t>M29112</t>
        </is>
      </c>
      <c r="H102" t="inlineStr">
        <is>
          <t>M2911200475</t>
        </is>
      </c>
      <c r="I102" t="inlineStr">
        <is>
          <t>SATELLITE COMMUNICATIONS OPERATOR</t>
        </is>
      </c>
      <c r="J102" t="inlineStr">
        <is>
          <t>CPL</t>
        </is>
      </c>
      <c r="K102" t="inlineStr">
        <is>
          <t>0627</t>
        </is>
      </c>
      <c r="L102" t="inlineStr">
        <is>
          <t>0627</t>
        </is>
      </c>
    </row>
    <row r="103">
      <c r="B103" t="n">
        <v>97</v>
      </c>
      <c r="C103" t="inlineStr">
        <is>
          <t>44112w</t>
        </is>
      </c>
      <c r="D103" t="inlineStr">
        <is>
          <t>44112</t>
        </is>
      </c>
      <c r="F103" t="inlineStr">
        <is>
          <t>M29112</t>
        </is>
      </c>
      <c r="H103" t="inlineStr">
        <is>
          <t>M2911200249</t>
        </is>
      </c>
      <c r="I103" t="inlineStr">
        <is>
          <t>PLATOON COMMANDER</t>
        </is>
      </c>
      <c r="J103" t="inlineStr">
        <is>
          <t>1STLT</t>
        </is>
      </c>
      <c r="K103" t="inlineStr">
        <is>
          <t>0402</t>
        </is>
      </c>
      <c r="L103" t="inlineStr">
        <is>
          <t>0402</t>
        </is>
      </c>
    </row>
    <row r="104">
      <c r="B104" t="n">
        <v>98</v>
      </c>
      <c r="C104" t="inlineStr">
        <is>
          <t>21451</t>
        </is>
      </c>
      <c r="D104" t="inlineStr">
        <is>
          <t>21451</t>
        </is>
      </c>
      <c r="F104" t="inlineStr">
        <is>
          <t>M29112</t>
        </is>
      </c>
      <c r="H104" t="inlineStr">
        <is>
          <t>M2911200246</t>
        </is>
      </c>
      <c r="I104" t="inlineStr">
        <is>
          <t>PLATOON SERGEANT</t>
        </is>
      </c>
      <c r="J104" t="inlineStr">
        <is>
          <t>GYSGT</t>
        </is>
      </c>
      <c r="K104" t="inlineStr">
        <is>
          <t>3537</t>
        </is>
      </c>
      <c r="L104" t="inlineStr">
        <is>
          <t>3537</t>
        </is>
      </c>
    </row>
    <row r="105">
      <c r="B105" t="n">
        <v>99</v>
      </c>
      <c r="C105" t="inlineStr">
        <is>
          <t>61072o</t>
        </is>
      </c>
      <c r="D105" t="inlineStr">
        <is>
          <t>61072</t>
        </is>
      </c>
      <c r="F105" t="inlineStr">
        <is>
          <t>M29112</t>
        </is>
      </c>
      <c r="H105" t="inlineStr">
        <is>
          <t>M2911200250</t>
        </is>
      </c>
      <c r="I105" t="inlineStr">
        <is>
          <t>MOTOR TRANSPORT OPERATIONS CHIEF</t>
        </is>
      </c>
      <c r="J105" t="inlineStr">
        <is>
          <t>SSGT</t>
        </is>
      </c>
      <c r="K105" t="inlineStr">
        <is>
          <t>3537</t>
        </is>
      </c>
      <c r="L105" t="inlineStr">
        <is>
          <t>3537</t>
        </is>
      </c>
    </row>
    <row r="106">
      <c r="B106" t="n">
        <v>100</v>
      </c>
      <c r="C106" t="inlineStr">
        <is>
          <t>21451</t>
        </is>
      </c>
      <c r="D106" t="inlineStr">
        <is>
          <t>21451</t>
        </is>
      </c>
      <c r="F106" t="inlineStr">
        <is>
          <t>M29112</t>
        </is>
      </c>
      <c r="H106" t="inlineStr">
        <is>
          <t>M2911200259</t>
        </is>
      </c>
      <c r="I106" t="inlineStr">
        <is>
          <t>MOTOR VEHICLE OPERATOR</t>
        </is>
      </c>
      <c r="J106" t="inlineStr">
        <is>
          <t>SGT</t>
        </is>
      </c>
      <c r="K106" t="inlineStr">
        <is>
          <t>3534</t>
        </is>
      </c>
      <c r="L106" t="inlineStr">
        <is>
          <t>3531</t>
        </is>
      </c>
    </row>
    <row r="107">
      <c r="B107" t="n">
        <v>101</v>
      </c>
      <c r="C107" t="inlineStr">
        <is>
          <t>21451</t>
        </is>
      </c>
      <c r="D107" t="inlineStr">
        <is>
          <t>21451</t>
        </is>
      </c>
      <c r="F107" t="inlineStr">
        <is>
          <t>M29112</t>
        </is>
      </c>
      <c r="H107" t="inlineStr">
        <is>
          <t>M2911200251</t>
        </is>
      </c>
      <c r="I107" t="inlineStr">
        <is>
          <t>MOTOR VEHICLE OPERATOR</t>
        </is>
      </c>
      <c r="J107" t="inlineStr">
        <is>
          <t>CPL</t>
        </is>
      </c>
      <c r="K107" t="inlineStr">
        <is>
          <t>3536</t>
        </is>
      </c>
      <c r="L107" t="inlineStr">
        <is>
          <t>3531</t>
        </is>
      </c>
    </row>
    <row r="108">
      <c r="B108" t="n">
        <v>102</v>
      </c>
      <c r="C108" t="inlineStr">
        <is>
          <t>21451</t>
        </is>
      </c>
      <c r="D108" t="inlineStr">
        <is>
          <t>21451</t>
        </is>
      </c>
      <c r="F108" t="inlineStr">
        <is>
          <t>M29112</t>
        </is>
      </c>
      <c r="H108" t="inlineStr">
        <is>
          <t>M2911200316</t>
        </is>
      </c>
      <c r="I108" t="inlineStr">
        <is>
          <t>MOTOR VEHICLE OPERATOR</t>
        </is>
      </c>
      <c r="J108" t="inlineStr">
        <is>
          <t>CPL</t>
        </is>
      </c>
      <c r="K108" t="inlineStr">
        <is>
          <t>3534</t>
        </is>
      </c>
      <c r="L108" t="inlineStr">
        <is>
          <t>3531</t>
        </is>
      </c>
    </row>
    <row r="109">
      <c r="B109" t="n">
        <v>103</v>
      </c>
      <c r="C109" t="inlineStr">
        <is>
          <t>21451</t>
        </is>
      </c>
      <c r="D109" t="inlineStr">
        <is>
          <t>21451</t>
        </is>
      </c>
      <c r="F109" t="inlineStr">
        <is>
          <t>M29112</t>
        </is>
      </c>
      <c r="H109" t="inlineStr">
        <is>
          <t>M2911200330</t>
        </is>
      </c>
      <c r="I109" t="inlineStr">
        <is>
          <t>MOTOR VEHICLE OPERATOR</t>
        </is>
      </c>
      <c r="J109" t="inlineStr">
        <is>
          <t>LCPL</t>
        </is>
      </c>
      <c r="K109" t="inlineStr">
        <is>
          <t>3534</t>
        </is>
      </c>
      <c r="L109" t="inlineStr">
        <is>
          <t>3531</t>
        </is>
      </c>
    </row>
    <row r="110">
      <c r="B110" t="n">
        <v>104</v>
      </c>
      <c r="C110" t="inlineStr">
        <is>
          <t>21451</t>
        </is>
      </c>
      <c r="D110" t="inlineStr">
        <is>
          <t>21451</t>
        </is>
      </c>
      <c r="F110" t="inlineStr">
        <is>
          <t>M29112</t>
        </is>
      </c>
      <c r="H110" t="inlineStr">
        <is>
          <t>M2911200331</t>
        </is>
      </c>
      <c r="I110" t="inlineStr">
        <is>
          <t>MOTOR VEHICLE OPERATOR</t>
        </is>
      </c>
      <c r="J110" t="inlineStr">
        <is>
          <t>LCPL</t>
        </is>
      </c>
      <c r="K110" t="inlineStr">
        <is>
          <t>3531</t>
        </is>
      </c>
      <c r="L110" t="inlineStr">
        <is>
          <t>3531</t>
        </is>
      </c>
    </row>
    <row r="111">
      <c r="B111" t="n">
        <v>105</v>
      </c>
      <c r="C111" t="inlineStr">
        <is>
          <t>21451</t>
        </is>
      </c>
      <c r="D111" t="inlineStr">
        <is>
          <t>21451</t>
        </is>
      </c>
      <c r="F111" t="inlineStr">
        <is>
          <t>M29112</t>
        </is>
      </c>
      <c r="H111" t="inlineStr">
        <is>
          <t>M2911200340</t>
        </is>
      </c>
      <c r="I111" t="inlineStr">
        <is>
          <t>MOTOR VEHICLE OPERATOR</t>
        </is>
      </c>
      <c r="J111" t="inlineStr">
        <is>
          <t>LCPL</t>
        </is>
      </c>
      <c r="K111" t="inlineStr">
        <is>
          <t>3531</t>
        </is>
      </c>
      <c r="L111" t="inlineStr">
        <is>
          <t>3531</t>
        </is>
      </c>
    </row>
    <row r="112">
      <c r="B112" t="n">
        <v>106</v>
      </c>
      <c r="C112" t="inlineStr">
        <is>
          <t>21451</t>
        </is>
      </c>
      <c r="D112" t="inlineStr">
        <is>
          <t>21451</t>
        </is>
      </c>
      <c r="F112" t="inlineStr">
        <is>
          <t>M29112</t>
        </is>
      </c>
      <c r="H112" t="inlineStr">
        <is>
          <t>M2911200446</t>
        </is>
      </c>
      <c r="I112" t="inlineStr">
        <is>
          <t>MOTOR VEHICLE OPERATOR</t>
        </is>
      </c>
      <c r="J112" t="inlineStr">
        <is>
          <t>SGT</t>
        </is>
      </c>
      <c r="K112" t="inlineStr">
        <is>
          <t>3531</t>
        </is>
      </c>
      <c r="L112" t="inlineStr">
        <is>
          <t>3531</t>
        </is>
      </c>
    </row>
    <row r="113">
      <c r="B113" t="n">
        <v>107</v>
      </c>
      <c r="C113" t="inlineStr">
        <is>
          <t>21451</t>
        </is>
      </c>
      <c r="D113" t="inlineStr">
        <is>
          <t>21451</t>
        </is>
      </c>
      <c r="F113" t="inlineStr">
        <is>
          <t>M29112</t>
        </is>
      </c>
      <c r="H113" t="inlineStr">
        <is>
          <t>M2911200447</t>
        </is>
      </c>
      <c r="I113" t="inlineStr">
        <is>
          <t>MOTOR VEHICLE OPERATOR</t>
        </is>
      </c>
      <c r="J113" t="inlineStr">
        <is>
          <t>CPL</t>
        </is>
      </c>
      <c r="K113" t="inlineStr">
        <is>
          <t>3536</t>
        </is>
      </c>
      <c r="L113" t="inlineStr">
        <is>
          <t>3531</t>
        </is>
      </c>
    </row>
    <row r="114">
      <c r="B114" t="n">
        <v>108</v>
      </c>
      <c r="C114" t="inlineStr">
        <is>
          <t>21451</t>
        </is>
      </c>
      <c r="D114" t="inlineStr">
        <is>
          <t>21451</t>
        </is>
      </c>
      <c r="F114" t="inlineStr">
        <is>
          <t>M29112</t>
        </is>
      </c>
      <c r="H114" t="inlineStr">
        <is>
          <t>M2911200448</t>
        </is>
      </c>
      <c r="I114" t="inlineStr">
        <is>
          <t>MOTOR VEHICLE OPERATOR</t>
        </is>
      </c>
      <c r="J114" t="inlineStr">
        <is>
          <t>CPL</t>
        </is>
      </c>
      <c r="K114" t="inlineStr">
        <is>
          <t>3536</t>
        </is>
      </c>
      <c r="L114" t="inlineStr">
        <is>
          <t>3531</t>
        </is>
      </c>
    </row>
    <row r="115">
      <c r="B115" t="n">
        <v>109</v>
      </c>
      <c r="C115" t="inlineStr">
        <is>
          <t>21451</t>
        </is>
      </c>
      <c r="D115" t="inlineStr">
        <is>
          <t>21451</t>
        </is>
      </c>
      <c r="F115" t="inlineStr">
        <is>
          <t>M29112</t>
        </is>
      </c>
      <c r="H115" t="inlineStr">
        <is>
          <t>M2911200449</t>
        </is>
      </c>
      <c r="I115" t="inlineStr">
        <is>
          <t>MOTOR VEHICLE OPERATOR</t>
        </is>
      </c>
      <c r="J115" t="inlineStr">
        <is>
          <t>LCPL</t>
        </is>
      </c>
      <c r="K115" t="inlineStr">
        <is>
          <t>3536</t>
        </is>
      </c>
      <c r="L115" t="inlineStr">
        <is>
          <t>3531</t>
        </is>
      </c>
    </row>
    <row r="116">
      <c r="B116" t="n">
        <v>110</v>
      </c>
      <c r="C116" t="inlineStr">
        <is>
          <t>21451</t>
        </is>
      </c>
      <c r="D116" t="inlineStr">
        <is>
          <t>21451</t>
        </is>
      </c>
      <c r="F116" t="inlineStr">
        <is>
          <t>M29112</t>
        </is>
      </c>
      <c r="H116" t="inlineStr">
        <is>
          <t>M2911200450</t>
        </is>
      </c>
      <c r="I116" t="inlineStr">
        <is>
          <t>MOTOR VEHICLE OPERATOR</t>
        </is>
      </c>
      <c r="J116" t="inlineStr">
        <is>
          <t>LCPL</t>
        </is>
      </c>
      <c r="K116" t="inlineStr">
        <is>
          <t>3531</t>
        </is>
      </c>
      <c r="L116" t="inlineStr">
        <is>
          <t>3531</t>
        </is>
      </c>
    </row>
    <row r="117">
      <c r="B117" t="n">
        <v>111</v>
      </c>
      <c r="C117" t="inlineStr">
        <is>
          <t>21451</t>
        </is>
      </c>
      <c r="D117" t="inlineStr">
        <is>
          <t>21451</t>
        </is>
      </c>
      <c r="F117" t="inlineStr">
        <is>
          <t>M29112</t>
        </is>
      </c>
      <c r="H117" t="inlineStr">
        <is>
          <t>M2911200451</t>
        </is>
      </c>
      <c r="I117" t="inlineStr">
        <is>
          <t>MOTOR VEHICLE OPERATOR</t>
        </is>
      </c>
      <c r="J117" t="inlineStr">
        <is>
          <t>LCPL</t>
        </is>
      </c>
      <c r="K117" t="inlineStr">
        <is>
          <t>3531</t>
        </is>
      </c>
      <c r="L117" t="inlineStr">
        <is>
          <t>3531</t>
        </is>
      </c>
    </row>
    <row r="118">
      <c r="B118" t="n">
        <v>112</v>
      </c>
      <c r="C118" t="inlineStr">
        <is>
          <t>21451</t>
        </is>
      </c>
      <c r="D118" t="inlineStr">
        <is>
          <t>21451</t>
        </is>
      </c>
      <c r="F118" t="inlineStr">
        <is>
          <t>M29112</t>
        </is>
      </c>
      <c r="H118" t="inlineStr">
        <is>
          <t>M2911200452</t>
        </is>
      </c>
      <c r="I118" t="inlineStr">
        <is>
          <t>MOTOR TRANSPORT MAINTENANCE CHIEF</t>
        </is>
      </c>
      <c r="J118" t="inlineStr">
        <is>
          <t>SSGT</t>
        </is>
      </c>
      <c r="K118" t="inlineStr">
        <is>
          <t>3529</t>
        </is>
      </c>
      <c r="L118" t="inlineStr">
        <is>
          <t>3529</t>
        </is>
      </c>
    </row>
    <row r="119">
      <c r="B119" t="n">
        <v>113</v>
      </c>
      <c r="C119" t="inlineStr">
        <is>
          <t>21451</t>
        </is>
      </c>
      <c r="D119" t="inlineStr">
        <is>
          <t>21451</t>
        </is>
      </c>
      <c r="F119" t="inlineStr">
        <is>
          <t>M29112</t>
        </is>
      </c>
      <c r="H119" t="inlineStr">
        <is>
          <t>M2911200453</t>
        </is>
      </c>
      <c r="I119" t="inlineStr">
        <is>
          <t>AUTOMOTIVE MAINTENANCE TECHNICIAN</t>
        </is>
      </c>
      <c r="J119" t="inlineStr">
        <is>
          <t>SGT</t>
        </is>
      </c>
      <c r="K119" t="inlineStr">
        <is>
          <t>3521</t>
        </is>
      </c>
      <c r="L119" t="inlineStr">
        <is>
          <t>3521</t>
        </is>
      </c>
    </row>
    <row r="120">
      <c r="B120" t="n">
        <v>114</v>
      </c>
      <c r="C120" t="inlineStr">
        <is>
          <t>21451</t>
        </is>
      </c>
      <c r="D120" t="inlineStr">
        <is>
          <t>21451</t>
        </is>
      </c>
      <c r="F120" t="inlineStr">
        <is>
          <t>M29112</t>
        </is>
      </c>
      <c r="H120" t="inlineStr">
        <is>
          <t>M2911200454</t>
        </is>
      </c>
      <c r="I120" t="inlineStr">
        <is>
          <t>AUTOMOTIVE MAINTENANCE TECHNICIAN</t>
        </is>
      </c>
      <c r="J120" t="inlineStr">
        <is>
          <t>CPL</t>
        </is>
      </c>
      <c r="K120" t="inlineStr">
        <is>
          <t>3521</t>
        </is>
      </c>
      <c r="L120" t="inlineStr">
        <is>
          <t>3521</t>
        </is>
      </c>
    </row>
    <row r="121">
      <c r="B121" t="n">
        <v>115</v>
      </c>
      <c r="C121" t="inlineStr">
        <is>
          <t>21451</t>
        </is>
      </c>
      <c r="D121" t="inlineStr">
        <is>
          <t>21451</t>
        </is>
      </c>
      <c r="F121" t="inlineStr">
        <is>
          <t>M29112</t>
        </is>
      </c>
      <c r="H121" t="inlineStr">
        <is>
          <t>M2911200455</t>
        </is>
      </c>
      <c r="I121" t="inlineStr">
        <is>
          <t>AUTOMOTIVE MAINTENANCE TECHNICIAN</t>
        </is>
      </c>
      <c r="J121" t="inlineStr">
        <is>
          <t>CPL</t>
        </is>
      </c>
      <c r="K121" t="inlineStr">
        <is>
          <t>3521</t>
        </is>
      </c>
      <c r="L121" t="inlineStr">
        <is>
          <t>3521</t>
        </is>
      </c>
    </row>
    <row r="122">
      <c r="B122" t="n">
        <v>116</v>
      </c>
      <c r="C122" t="inlineStr">
        <is>
          <t>44112w</t>
        </is>
      </c>
      <c r="D122" t="inlineStr">
        <is>
          <t>44112</t>
        </is>
      </c>
      <c r="F122" t="inlineStr">
        <is>
          <t>M29112</t>
        </is>
      </c>
      <c r="H122" t="inlineStr">
        <is>
          <t>M2911200350</t>
        </is>
      </c>
      <c r="I122" t="inlineStr">
        <is>
          <t>DISTRIBUTION CHIEF</t>
        </is>
      </c>
      <c r="J122" t="inlineStr">
        <is>
          <t>SSGT</t>
        </is>
      </c>
      <c r="K122" t="inlineStr">
        <is>
          <t>0441</t>
        </is>
      </c>
      <c r="L122" t="inlineStr">
        <is>
          <t>0441</t>
        </is>
      </c>
    </row>
    <row r="123">
      <c r="B123" t="n">
        <v>117</v>
      </c>
      <c r="C123" t="inlineStr">
        <is>
          <t>44112w</t>
        </is>
      </c>
      <c r="D123" t="inlineStr">
        <is>
          <t>44112</t>
        </is>
      </c>
      <c r="F123" t="inlineStr">
        <is>
          <t>M29112</t>
        </is>
      </c>
      <c r="H123" t="inlineStr">
        <is>
          <t>M2911200352</t>
        </is>
      </c>
      <c r="I123" t="inlineStr">
        <is>
          <t>TEAM LEADER</t>
        </is>
      </c>
      <c r="J123" t="inlineStr">
        <is>
          <t>SGT</t>
        </is>
      </c>
      <c r="K123" t="inlineStr">
        <is>
          <t>0441</t>
        </is>
      </c>
      <c r="L123" t="inlineStr">
        <is>
          <t>0441</t>
        </is>
      </c>
    </row>
    <row r="124">
      <c r="B124" t="n">
        <v>118</v>
      </c>
      <c r="C124" t="inlineStr">
        <is>
          <t>44112w</t>
        </is>
      </c>
      <c r="D124" t="inlineStr">
        <is>
          <t>44112</t>
        </is>
      </c>
      <c r="F124" t="inlineStr">
        <is>
          <t>M29112</t>
        </is>
      </c>
      <c r="H124" t="inlineStr">
        <is>
          <t>M2911200354</t>
        </is>
      </c>
      <c r="I124" t="inlineStr">
        <is>
          <t>LOGISTICS SPECIALIST</t>
        </is>
      </c>
      <c r="J124" t="inlineStr">
        <is>
          <t>CPL</t>
        </is>
      </c>
      <c r="K124" t="inlineStr">
        <is>
          <t>0441</t>
        </is>
      </c>
      <c r="L124" t="inlineStr">
        <is>
          <t>0441</t>
        </is>
      </c>
    </row>
    <row r="125">
      <c r="B125" t="n">
        <v>119</v>
      </c>
      <c r="C125" t="inlineStr">
        <is>
          <t>44112w</t>
        </is>
      </c>
      <c r="D125" t="inlineStr">
        <is>
          <t>44112</t>
        </is>
      </c>
      <c r="F125" t="inlineStr">
        <is>
          <t>M29112</t>
        </is>
      </c>
      <c r="H125" t="inlineStr">
        <is>
          <t>M2911200355</t>
        </is>
      </c>
      <c r="I125" t="inlineStr">
        <is>
          <t>LOGISTICS SPECIALIST</t>
        </is>
      </c>
      <c r="J125" t="inlineStr">
        <is>
          <t>LCPL</t>
        </is>
      </c>
      <c r="K125" t="inlineStr">
        <is>
          <t>0441</t>
        </is>
      </c>
      <c r="L125" t="inlineStr">
        <is>
          <t>0441</t>
        </is>
      </c>
    </row>
    <row r="126">
      <c r="B126" t="n">
        <v>120</v>
      </c>
      <c r="C126" t="inlineStr">
        <is>
          <t>44112w</t>
        </is>
      </c>
      <c r="D126" t="inlineStr">
        <is>
          <t>44112</t>
        </is>
      </c>
      <c r="F126" t="inlineStr">
        <is>
          <t>M29112</t>
        </is>
      </c>
      <c r="H126" t="inlineStr">
        <is>
          <t>M2911200356</t>
        </is>
      </c>
      <c r="I126" t="inlineStr">
        <is>
          <t>LOGISTICS SPECIALIST</t>
        </is>
      </c>
      <c r="J126" t="inlineStr">
        <is>
          <t>LCPL</t>
        </is>
      </c>
      <c r="K126" t="inlineStr">
        <is>
          <t>0441</t>
        </is>
      </c>
      <c r="L126" t="inlineStr">
        <is>
          <t>0441</t>
        </is>
      </c>
    </row>
    <row r="127">
      <c r="B127" t="n">
        <v>121</v>
      </c>
      <c r="C127" t="inlineStr">
        <is>
          <t>44112w</t>
        </is>
      </c>
      <c r="D127" t="inlineStr">
        <is>
          <t>44112</t>
        </is>
      </c>
      <c r="F127" t="inlineStr">
        <is>
          <t>M29112</t>
        </is>
      </c>
      <c r="H127" t="inlineStr">
        <is>
          <t>M2911200357</t>
        </is>
      </c>
      <c r="I127" t="inlineStr">
        <is>
          <t>TEAM LEADER</t>
        </is>
      </c>
      <c r="J127" t="inlineStr">
        <is>
          <t>SGT</t>
        </is>
      </c>
      <c r="K127" t="inlineStr">
        <is>
          <t>0441</t>
        </is>
      </c>
      <c r="L127" t="inlineStr">
        <is>
          <t>0441</t>
        </is>
      </c>
    </row>
    <row r="128">
      <c r="B128" t="n">
        <v>122</v>
      </c>
      <c r="C128" t="inlineStr">
        <is>
          <t>44112w</t>
        </is>
      </c>
      <c r="D128" t="inlineStr">
        <is>
          <t>44112</t>
        </is>
      </c>
      <c r="F128" t="inlineStr">
        <is>
          <t>M29112</t>
        </is>
      </c>
      <c r="H128" t="inlineStr">
        <is>
          <t>M2911200358</t>
        </is>
      </c>
      <c r="I128" t="inlineStr">
        <is>
          <t>LOGISTICS SPECIALIST</t>
        </is>
      </c>
      <c r="J128" t="inlineStr">
        <is>
          <t>CPL</t>
        </is>
      </c>
      <c r="K128" t="inlineStr">
        <is>
          <t>0441</t>
        </is>
      </c>
      <c r="L128" t="inlineStr">
        <is>
          <t>0441</t>
        </is>
      </c>
    </row>
    <row r="129">
      <c r="B129" t="n">
        <v>123</v>
      </c>
      <c r="C129" t="inlineStr">
        <is>
          <t>44112w</t>
        </is>
      </c>
      <c r="D129" t="inlineStr">
        <is>
          <t>44112</t>
        </is>
      </c>
      <c r="F129" t="inlineStr">
        <is>
          <t>M29112</t>
        </is>
      </c>
      <c r="H129" t="inlineStr">
        <is>
          <t>M2911200359</t>
        </is>
      </c>
      <c r="I129" t="inlineStr">
        <is>
          <t>LOGISTICS SPECIALIST</t>
        </is>
      </c>
      <c r="J129" t="inlineStr">
        <is>
          <t>CPL</t>
        </is>
      </c>
      <c r="K129" t="inlineStr">
        <is>
          <t>0441</t>
        </is>
      </c>
      <c r="L129" t="inlineStr">
        <is>
          <t>0441</t>
        </is>
      </c>
    </row>
    <row r="130">
      <c r="B130" t="n">
        <v>124</v>
      </c>
      <c r="C130" t="inlineStr">
        <is>
          <t>44112w</t>
        </is>
      </c>
      <c r="D130" t="inlineStr">
        <is>
          <t>44112</t>
        </is>
      </c>
      <c r="F130" t="inlineStr">
        <is>
          <t>M29112</t>
        </is>
      </c>
      <c r="H130" t="inlineStr">
        <is>
          <t>M2911200360</t>
        </is>
      </c>
      <c r="I130" t="inlineStr">
        <is>
          <t>LOGISTICS SPECIALIST</t>
        </is>
      </c>
      <c r="J130" t="inlineStr">
        <is>
          <t>LCPL</t>
        </is>
      </c>
      <c r="K130" t="inlineStr">
        <is>
          <t>0441</t>
        </is>
      </c>
      <c r="L130" t="inlineStr">
        <is>
          <t>0441</t>
        </is>
      </c>
    </row>
    <row r="131">
      <c r="B131" t="n">
        <v>125</v>
      </c>
      <c r="C131" t="inlineStr">
        <is>
          <t>44112w</t>
        </is>
      </c>
      <c r="D131" t="inlineStr">
        <is>
          <t>44112</t>
        </is>
      </c>
      <c r="F131" t="inlineStr">
        <is>
          <t>M29112</t>
        </is>
      </c>
      <c r="H131" t="inlineStr">
        <is>
          <t>M2911200456</t>
        </is>
      </c>
      <c r="I131" t="inlineStr">
        <is>
          <t>LOGISTICS SPECIALIST</t>
        </is>
      </c>
      <c r="J131" t="inlineStr">
        <is>
          <t>PFC</t>
        </is>
      </c>
      <c r="K131" t="inlineStr">
        <is>
          <t>0441</t>
        </is>
      </c>
      <c r="L131" t="inlineStr">
        <is>
          <t>0441</t>
        </is>
      </c>
    </row>
    <row r="132">
      <c r="B132" t="n">
        <v>126</v>
      </c>
      <c r="C132" t="inlineStr">
        <is>
          <t>61072o</t>
        </is>
      </c>
      <c r="D132" t="inlineStr">
        <is>
          <t>61072</t>
        </is>
      </c>
      <c r="F132" t="inlineStr">
        <is>
          <t>M29112</t>
        </is>
      </c>
      <c r="H132" t="inlineStr">
        <is>
          <t>M2911200457</t>
        </is>
      </c>
      <c r="I132" t="inlineStr">
        <is>
          <t>ENGINEER OPERATIONS CHIEF</t>
        </is>
      </c>
      <c r="J132" t="inlineStr">
        <is>
          <t>GYSGT</t>
        </is>
      </c>
      <c r="K132" t="inlineStr">
        <is>
          <t>1371</t>
        </is>
      </c>
      <c r="L132" t="inlineStr">
        <is>
          <t>1371</t>
        </is>
      </c>
    </row>
    <row r="133">
      <c r="B133" t="n">
        <v>127</v>
      </c>
      <c r="C133" t="inlineStr">
        <is>
          <t>21730</t>
        </is>
      </c>
      <c r="D133" t="inlineStr">
        <is>
          <t>21730</t>
        </is>
      </c>
      <c r="F133" t="inlineStr">
        <is>
          <t>M29112</t>
        </is>
      </c>
      <c r="H133" t="inlineStr">
        <is>
          <t>M2911200458</t>
        </is>
      </c>
      <c r="I133" t="inlineStr">
        <is>
          <t>COMBAT ENGINEER</t>
        </is>
      </c>
      <c r="J133" t="inlineStr">
        <is>
          <t>SGT</t>
        </is>
      </c>
      <c r="K133" t="inlineStr">
        <is>
          <t>1371</t>
        </is>
      </c>
      <c r="L133" t="inlineStr">
        <is>
          <t>1371</t>
        </is>
      </c>
    </row>
    <row r="134">
      <c r="B134" t="n">
        <v>128</v>
      </c>
      <c r="C134" t="inlineStr">
        <is>
          <t>21730</t>
        </is>
      </c>
      <c r="D134" t="inlineStr">
        <is>
          <t>21730</t>
        </is>
      </c>
      <c r="F134" t="inlineStr">
        <is>
          <t>M29112</t>
        </is>
      </c>
      <c r="H134" t="inlineStr">
        <is>
          <t>M2911200477</t>
        </is>
      </c>
      <c r="I134" t="inlineStr">
        <is>
          <t>COMBAT ENGINEER</t>
        </is>
      </c>
      <c r="J134" t="inlineStr">
        <is>
          <t>CPL</t>
        </is>
      </c>
      <c r="K134" t="inlineStr">
        <is>
          <t>1371</t>
        </is>
      </c>
      <c r="L134" t="inlineStr">
        <is>
          <t>1371</t>
        </is>
      </c>
    </row>
    <row r="135">
      <c r="B135" t="n">
        <v>129</v>
      </c>
      <c r="C135" t="inlineStr">
        <is>
          <t>21730</t>
        </is>
      </c>
      <c r="D135" t="inlineStr">
        <is>
          <t>21730</t>
        </is>
      </c>
      <c r="F135" t="inlineStr">
        <is>
          <t>M29112</t>
        </is>
      </c>
      <c r="H135" t="inlineStr">
        <is>
          <t>M2911200459</t>
        </is>
      </c>
      <c r="I135" t="inlineStr">
        <is>
          <t>COMBAT ENGINEER</t>
        </is>
      </c>
      <c r="J135" t="inlineStr">
        <is>
          <t>CPL</t>
        </is>
      </c>
      <c r="K135" t="inlineStr">
        <is>
          <t>1371</t>
        </is>
      </c>
      <c r="L135" t="inlineStr">
        <is>
          <t>1371</t>
        </is>
      </c>
    </row>
    <row r="136">
      <c r="B136" t="n">
        <v>130</v>
      </c>
      <c r="C136" t="inlineStr">
        <is>
          <t>21730</t>
        </is>
      </c>
      <c r="D136" t="inlineStr">
        <is>
          <t>21730</t>
        </is>
      </c>
      <c r="F136" t="inlineStr">
        <is>
          <t>M29112</t>
        </is>
      </c>
      <c r="H136" t="inlineStr">
        <is>
          <t>M2911200460</t>
        </is>
      </c>
      <c r="I136" t="inlineStr">
        <is>
          <t>COMBAT ENGINEER</t>
        </is>
      </c>
      <c r="J136" t="inlineStr">
        <is>
          <t>LCPL</t>
        </is>
      </c>
      <c r="K136" t="inlineStr">
        <is>
          <t>1371</t>
        </is>
      </c>
      <c r="L136" t="inlineStr">
        <is>
          <t>1371</t>
        </is>
      </c>
    </row>
    <row r="137">
      <c r="B137" t="n">
        <v>131</v>
      </c>
      <c r="C137" t="inlineStr">
        <is>
          <t>21730</t>
        </is>
      </c>
      <c r="D137" t="inlineStr">
        <is>
          <t>21730</t>
        </is>
      </c>
      <c r="F137" t="inlineStr">
        <is>
          <t>M29112</t>
        </is>
      </c>
      <c r="H137" t="inlineStr">
        <is>
          <t>M2911200481</t>
        </is>
      </c>
      <c r="I137" t="inlineStr">
        <is>
          <t>COMBAT ENGINEER</t>
        </is>
      </c>
      <c r="J137" t="inlineStr">
        <is>
          <t>LCPL</t>
        </is>
      </c>
      <c r="K137" t="inlineStr">
        <is>
          <t>1371</t>
        </is>
      </c>
      <c r="L137" t="inlineStr">
        <is>
          <t>1371</t>
        </is>
      </c>
    </row>
    <row r="138">
      <c r="B138" t="n">
        <v>132</v>
      </c>
      <c r="C138" t="inlineStr">
        <is>
          <t>21730</t>
        </is>
      </c>
      <c r="D138" t="inlineStr">
        <is>
          <t>21730</t>
        </is>
      </c>
      <c r="F138" t="inlineStr">
        <is>
          <t>M29112</t>
        </is>
      </c>
      <c r="H138" t="inlineStr">
        <is>
          <t>M2911200461</t>
        </is>
      </c>
      <c r="I138" t="inlineStr">
        <is>
          <t>EXPEDITIONARY FUELS TECHNICIAN</t>
        </is>
      </c>
      <c r="J138" t="inlineStr">
        <is>
          <t>SSGT</t>
        </is>
      </c>
      <c r="K138" t="inlineStr">
        <is>
          <t>1391</t>
        </is>
      </c>
      <c r="L138" t="inlineStr">
        <is>
          <t>1391</t>
        </is>
      </c>
    </row>
    <row r="139">
      <c r="B139" t="n">
        <v>133</v>
      </c>
      <c r="C139" t="inlineStr">
        <is>
          <t>21730</t>
        </is>
      </c>
      <c r="D139" t="inlineStr">
        <is>
          <t>21730</t>
        </is>
      </c>
      <c r="F139" t="inlineStr">
        <is>
          <t>M29112</t>
        </is>
      </c>
      <c r="H139" t="inlineStr">
        <is>
          <t>M2911200462</t>
        </is>
      </c>
      <c r="I139" t="inlineStr">
        <is>
          <t>EXPEDITIONARY FUELS TECHNICIAN</t>
        </is>
      </c>
      <c r="J139" t="inlineStr">
        <is>
          <t>SGT</t>
        </is>
      </c>
      <c r="K139" t="inlineStr">
        <is>
          <t>1391</t>
        </is>
      </c>
      <c r="L139" t="inlineStr">
        <is>
          <t>1391</t>
        </is>
      </c>
    </row>
    <row r="140">
      <c r="B140" t="n">
        <v>134</v>
      </c>
      <c r="C140" t="inlineStr">
        <is>
          <t>21730</t>
        </is>
      </c>
      <c r="D140" t="inlineStr">
        <is>
          <t>21730</t>
        </is>
      </c>
      <c r="F140" t="inlineStr">
        <is>
          <t>M29112</t>
        </is>
      </c>
      <c r="H140" t="inlineStr">
        <is>
          <t>M2911200463</t>
        </is>
      </c>
      <c r="I140" t="inlineStr">
        <is>
          <t>PETROLEUM QUALITY ASSURANCE/ADDITIZATION SPECIALIST</t>
        </is>
      </c>
      <c r="J140" t="inlineStr">
        <is>
          <t>CPL</t>
        </is>
      </c>
      <c r="K140" t="inlineStr">
        <is>
          <t>1392</t>
        </is>
      </c>
      <c r="L140" t="inlineStr">
        <is>
          <t>1391</t>
        </is>
      </c>
    </row>
    <row r="141">
      <c r="B141" t="n">
        <v>135</v>
      </c>
      <c r="C141" t="inlineStr">
        <is>
          <t>21730</t>
        </is>
      </c>
      <c r="D141" t="inlineStr">
        <is>
          <t>21730</t>
        </is>
      </c>
      <c r="F141" t="inlineStr">
        <is>
          <t>M29112</t>
        </is>
      </c>
      <c r="H141" t="inlineStr">
        <is>
          <t>M2911200465</t>
        </is>
      </c>
      <c r="I141" t="inlineStr">
        <is>
          <t>ELECTRICIAN</t>
        </is>
      </c>
      <c r="J141" t="inlineStr">
        <is>
          <t>SGT</t>
        </is>
      </c>
      <c r="K141" t="inlineStr">
        <is>
          <t>1141</t>
        </is>
      </c>
      <c r="L141" t="inlineStr">
        <is>
          <t>1141</t>
        </is>
      </c>
    </row>
    <row r="142">
      <c r="B142" t="n">
        <v>136</v>
      </c>
      <c r="C142" t="inlineStr">
        <is>
          <t>21730</t>
        </is>
      </c>
      <c r="D142" t="inlineStr">
        <is>
          <t>21730</t>
        </is>
      </c>
      <c r="F142" t="inlineStr">
        <is>
          <t>M29112</t>
        </is>
      </c>
      <c r="H142" t="inlineStr">
        <is>
          <t>M2911200480</t>
        </is>
      </c>
      <c r="I142" t="inlineStr">
        <is>
          <t>ELECTRICIAN</t>
        </is>
      </c>
      <c r="J142" t="inlineStr">
        <is>
          <t>CPL</t>
        </is>
      </c>
      <c r="K142" t="inlineStr">
        <is>
          <t>1141</t>
        </is>
      </c>
      <c r="L142" t="inlineStr">
        <is>
          <t>1141</t>
        </is>
      </c>
    </row>
    <row r="143">
      <c r="B143" t="n">
        <v>137</v>
      </c>
      <c r="C143" t="inlineStr">
        <is>
          <t>21730</t>
        </is>
      </c>
      <c r="D143" t="inlineStr">
        <is>
          <t>21730</t>
        </is>
      </c>
      <c r="F143" t="inlineStr">
        <is>
          <t>M29112</t>
        </is>
      </c>
      <c r="H143" t="inlineStr">
        <is>
          <t>M2911200468</t>
        </is>
      </c>
      <c r="I143" t="inlineStr">
        <is>
          <t>UTILITIES SYSTEMS TECHNICIAN NCO</t>
        </is>
      </c>
      <c r="J143" t="inlineStr">
        <is>
          <t>SGT</t>
        </is>
      </c>
      <c r="K143" t="inlineStr">
        <is>
          <t>1164</t>
        </is>
      </c>
      <c r="L143" t="inlineStr">
        <is>
          <t>1164</t>
        </is>
      </c>
    </row>
    <row r="144">
      <c r="B144" t="n">
        <v>138</v>
      </c>
      <c r="C144" t="inlineStr">
        <is>
          <t>21730</t>
        </is>
      </c>
      <c r="D144" t="inlineStr">
        <is>
          <t>21730</t>
        </is>
      </c>
      <c r="F144" t="inlineStr">
        <is>
          <t>M29112</t>
        </is>
      </c>
      <c r="H144" t="inlineStr">
        <is>
          <t>M2911200478</t>
        </is>
      </c>
      <c r="I144" t="inlineStr">
        <is>
          <t>UTILITIES SYSTEMS TECHNICIAN NCO</t>
        </is>
      </c>
      <c r="J144" t="inlineStr">
        <is>
          <t>CPL</t>
        </is>
      </c>
      <c r="K144" t="inlineStr">
        <is>
          <t>1164</t>
        </is>
      </c>
      <c r="L144" t="inlineStr">
        <is>
          <t>1164</t>
        </is>
      </c>
    </row>
    <row r="145">
      <c r="B145" t="n">
        <v>139</v>
      </c>
      <c r="C145" t="inlineStr">
        <is>
          <t>21730</t>
        </is>
      </c>
      <c r="D145" t="inlineStr">
        <is>
          <t>21730</t>
        </is>
      </c>
      <c r="F145" t="inlineStr">
        <is>
          <t>M29112</t>
        </is>
      </c>
      <c r="H145" t="inlineStr">
        <is>
          <t>M2911200464</t>
        </is>
      </c>
      <c r="I145" t="inlineStr">
        <is>
          <t>ENGINEER EQUIPMENT OPERATOR</t>
        </is>
      </c>
      <c r="J145" t="inlineStr">
        <is>
          <t>SGT</t>
        </is>
      </c>
      <c r="K145" t="inlineStr">
        <is>
          <t>1345</t>
        </is>
      </c>
      <c r="L145" t="inlineStr">
        <is>
          <t>1345</t>
        </is>
      </c>
    </row>
    <row r="146">
      <c r="B146" t="n">
        <v>140</v>
      </c>
      <c r="C146" t="inlineStr">
        <is>
          <t>21730</t>
        </is>
      </c>
      <c r="D146" t="inlineStr">
        <is>
          <t>21730</t>
        </is>
      </c>
      <c r="F146" t="inlineStr">
        <is>
          <t>M29112</t>
        </is>
      </c>
      <c r="H146" t="inlineStr">
        <is>
          <t>M2911200466</t>
        </is>
      </c>
      <c r="I146" t="inlineStr">
        <is>
          <t>ENGINEER EQUIPMENT OPERATOR</t>
        </is>
      </c>
      <c r="J146" t="inlineStr">
        <is>
          <t>CPL</t>
        </is>
      </c>
      <c r="K146" t="inlineStr">
        <is>
          <t>1345</t>
        </is>
      </c>
      <c r="L146" t="inlineStr">
        <is>
          <t>1345</t>
        </is>
      </c>
    </row>
    <row r="147">
      <c r="B147" t="n">
        <v>141</v>
      </c>
      <c r="C147" t="inlineStr">
        <is>
          <t>21730</t>
        </is>
      </c>
      <c r="D147" t="inlineStr">
        <is>
          <t>21730</t>
        </is>
      </c>
      <c r="F147" t="inlineStr">
        <is>
          <t>M29112</t>
        </is>
      </c>
      <c r="H147" t="inlineStr">
        <is>
          <t>M2911200467</t>
        </is>
      </c>
      <c r="I147" t="inlineStr">
        <is>
          <t>ENGINEER EQUIPMENT OPERATOR</t>
        </is>
      </c>
      <c r="J147" t="inlineStr">
        <is>
          <t>CPL</t>
        </is>
      </c>
      <c r="K147" t="inlineStr">
        <is>
          <t>1345</t>
        </is>
      </c>
      <c r="L147" t="inlineStr">
        <is>
          <t>1345</t>
        </is>
      </c>
    </row>
    <row r="148">
      <c r="B148" t="n">
        <v>142</v>
      </c>
      <c r="C148" t="inlineStr">
        <is>
          <t>21730</t>
        </is>
      </c>
      <c r="D148" t="inlineStr">
        <is>
          <t>21730</t>
        </is>
      </c>
      <c r="F148" t="inlineStr">
        <is>
          <t>M29112</t>
        </is>
      </c>
      <c r="H148" t="inlineStr">
        <is>
          <t>M2911200476</t>
        </is>
      </c>
      <c r="I148" t="inlineStr">
        <is>
          <t>WATER SUPPORT CHIEF</t>
        </is>
      </c>
      <c r="J148" t="inlineStr">
        <is>
          <t>SSGT</t>
        </is>
      </c>
      <c r="K148" t="inlineStr">
        <is>
          <t>1171</t>
        </is>
      </c>
      <c r="L148" t="inlineStr">
        <is>
          <t>1171</t>
        </is>
      </c>
    </row>
    <row r="149">
      <c r="B149" t="n">
        <v>143</v>
      </c>
      <c r="C149" t="inlineStr">
        <is>
          <t>21730</t>
        </is>
      </c>
      <c r="D149" t="inlineStr">
        <is>
          <t>21730</t>
        </is>
      </c>
      <c r="F149" t="inlineStr">
        <is>
          <t>M29112</t>
        </is>
      </c>
      <c r="H149" t="inlineStr">
        <is>
          <t>M2911200479</t>
        </is>
      </c>
      <c r="I149" t="inlineStr">
        <is>
          <t>WATER SUPPORT NCO</t>
        </is>
      </c>
      <c r="J149" t="inlineStr">
        <is>
          <t>CPL</t>
        </is>
      </c>
      <c r="K149" t="inlineStr">
        <is>
          <t>1171</t>
        </is>
      </c>
      <c r="L149" t="inlineStr">
        <is>
          <t>1171</t>
        </is>
      </c>
    </row>
    <row r="150">
      <c r="B150" t="n">
        <v>144</v>
      </c>
      <c r="C150" t="inlineStr">
        <is>
          <t>44112w</t>
        </is>
      </c>
      <c r="D150" t="inlineStr">
        <is>
          <t>44112</t>
        </is>
      </c>
      <c r="F150" t="inlineStr">
        <is>
          <t>M29113</t>
        </is>
      </c>
      <c r="H150" t="inlineStr">
        <is>
          <t>M2911300126</t>
        </is>
      </c>
      <c r="I150" t="inlineStr">
        <is>
          <t>COMPANY COMMANDER</t>
        </is>
      </c>
      <c r="J150" t="inlineStr">
        <is>
          <t>CAPT</t>
        </is>
      </c>
      <c r="K150" t="inlineStr">
        <is>
          <t>0402</t>
        </is>
      </c>
      <c r="L150" t="inlineStr">
        <is>
          <t>0402</t>
        </is>
      </c>
    </row>
    <row r="151">
      <c r="B151" t="n">
        <v>145</v>
      </c>
      <c r="C151" t="inlineStr">
        <is>
          <t>61072o</t>
        </is>
      </c>
      <c r="D151" t="inlineStr">
        <is>
          <t>61072</t>
        </is>
      </c>
      <c r="F151" t="inlineStr">
        <is>
          <t>M29113</t>
        </is>
      </c>
      <c r="H151" t="inlineStr">
        <is>
          <t>M2911300127</t>
        </is>
      </c>
      <c r="I151" t="inlineStr">
        <is>
          <t>EXECUTIVE OFFICER</t>
        </is>
      </c>
      <c r="J151" t="inlineStr">
        <is>
          <t>1STLT</t>
        </is>
      </c>
      <c r="K151" t="inlineStr">
        <is>
          <t>1302</t>
        </is>
      </c>
      <c r="L151" t="inlineStr">
        <is>
          <t>1302</t>
        </is>
      </c>
    </row>
    <row r="152">
      <c r="B152" t="n">
        <v>146</v>
      </c>
      <c r="C152" t="inlineStr">
        <is>
          <t>61072o</t>
        </is>
      </c>
      <c r="D152" t="inlineStr">
        <is>
          <t>61072</t>
        </is>
      </c>
      <c r="F152" t="inlineStr">
        <is>
          <t>M29113</t>
        </is>
      </c>
      <c r="H152" t="inlineStr">
        <is>
          <t>M2911300123</t>
        </is>
      </c>
      <c r="I152" t="inlineStr">
        <is>
          <t>UNIT SENIOR ENLISTED LEADER</t>
        </is>
      </c>
      <c r="J152" t="inlineStr">
        <is>
          <t>1STSGT</t>
        </is>
      </c>
      <c r="K152" t="inlineStr">
        <is>
          <t>8999</t>
        </is>
      </c>
      <c r="L152" t="inlineStr">
        <is>
          <t>8999</t>
        </is>
      </c>
    </row>
    <row r="153">
      <c r="B153" t="n">
        <v>147</v>
      </c>
      <c r="C153" t="inlineStr">
        <is>
          <t>61072o</t>
        </is>
      </c>
      <c r="D153" t="inlineStr">
        <is>
          <t>61072</t>
        </is>
      </c>
      <c r="F153" t="inlineStr">
        <is>
          <t>M29113</t>
        </is>
      </c>
      <c r="H153" t="inlineStr">
        <is>
          <t>M2911300124</t>
        </is>
      </c>
      <c r="I153" t="inlineStr">
        <is>
          <t>OPERATIONS CHIEF</t>
        </is>
      </c>
      <c r="J153" t="inlineStr">
        <is>
          <t>GYSGT</t>
        </is>
      </c>
      <c r="K153" t="inlineStr">
        <is>
          <t>0477</t>
        </is>
      </c>
      <c r="L153" t="inlineStr">
        <is>
          <t>3537</t>
        </is>
      </c>
    </row>
    <row r="154">
      <c r="B154" t="n">
        <v>148</v>
      </c>
      <c r="C154" t="inlineStr">
        <is>
          <t>21451</t>
        </is>
      </c>
      <c r="D154" t="inlineStr">
        <is>
          <t>21451</t>
        </is>
      </c>
      <c r="F154" t="inlineStr">
        <is>
          <t>M29113</t>
        </is>
      </c>
      <c r="H154" t="inlineStr">
        <is>
          <t>M2911300125</t>
        </is>
      </c>
      <c r="I154" t="inlineStr">
        <is>
          <t>COMPANY CLERK</t>
        </is>
      </c>
      <c r="J154" t="inlineStr">
        <is>
          <t>SGT</t>
        </is>
      </c>
      <c r="K154" t="inlineStr">
        <is>
          <t>3531</t>
        </is>
      </c>
      <c r="L154" t="inlineStr">
        <is>
          <t>3531</t>
        </is>
      </c>
    </row>
    <row r="155">
      <c r="B155" t="n">
        <v>149</v>
      </c>
      <c r="C155" t="inlineStr">
        <is>
          <t>44112w</t>
        </is>
      </c>
      <c r="D155" t="inlineStr">
        <is>
          <t>44112</t>
        </is>
      </c>
      <c r="F155" t="inlineStr">
        <is>
          <t>M29113</t>
        </is>
      </c>
      <c r="H155" t="inlineStr">
        <is>
          <t>M2911300364</t>
        </is>
      </c>
      <c r="I155" t="inlineStr">
        <is>
          <t>COMPANY CLERK</t>
        </is>
      </c>
      <c r="J155" t="inlineStr">
        <is>
          <t>LCPL</t>
        </is>
      </c>
      <c r="K155" t="inlineStr">
        <is>
          <t>0441</t>
        </is>
      </c>
      <c r="L155" t="inlineStr">
        <is>
          <t>0441</t>
        </is>
      </c>
    </row>
    <row r="156">
      <c r="B156" t="n">
        <v>150</v>
      </c>
      <c r="C156" t="inlineStr"/>
      <c r="D156" t="inlineStr"/>
      <c r="F156" t="inlineStr">
        <is>
          <t>M29113</t>
        </is>
      </c>
      <c r="H156" t="inlineStr">
        <is>
          <t>M2911300472</t>
        </is>
      </c>
      <c r="I156" t="inlineStr">
        <is>
          <t>FOOD SERVICE SPECIALIST</t>
        </is>
      </c>
      <c r="J156" t="inlineStr">
        <is>
          <t>CPL</t>
        </is>
      </c>
      <c r="K156" t="inlineStr">
        <is>
          <t>3381</t>
        </is>
      </c>
      <c r="L156" t="inlineStr">
        <is>
          <t>3381</t>
        </is>
      </c>
    </row>
    <row r="157">
      <c r="B157" t="n">
        <v>151</v>
      </c>
      <c r="C157" t="inlineStr"/>
      <c r="D157" t="inlineStr"/>
      <c r="F157" t="inlineStr">
        <is>
          <t>M29113</t>
        </is>
      </c>
      <c r="H157" t="inlineStr">
        <is>
          <t>M2911300473</t>
        </is>
      </c>
      <c r="I157" t="inlineStr">
        <is>
          <t>FOOD SERVICE SPECIALIST</t>
        </is>
      </c>
      <c r="J157" t="inlineStr">
        <is>
          <t>LCPL</t>
        </is>
      </c>
      <c r="K157" t="inlineStr">
        <is>
          <t>3381</t>
        </is>
      </c>
      <c r="L157" t="inlineStr">
        <is>
          <t>3381</t>
        </is>
      </c>
    </row>
    <row r="158">
      <c r="B158" t="n">
        <v>152</v>
      </c>
      <c r="C158" t="inlineStr">
        <is>
          <t>21710</t>
        </is>
      </c>
      <c r="D158" t="inlineStr">
        <is>
          <t>21710</t>
        </is>
      </c>
      <c r="F158" t="inlineStr">
        <is>
          <t>M29113</t>
        </is>
      </c>
      <c r="H158" t="inlineStr">
        <is>
          <t>M2911300474</t>
        </is>
      </c>
      <c r="I158" t="inlineStr">
        <is>
          <t>TRANSMISSIONS SYSTEMS OPERATOR</t>
        </is>
      </c>
      <c r="J158" t="inlineStr">
        <is>
          <t>SGT</t>
        </is>
      </c>
      <c r="K158" t="inlineStr">
        <is>
          <t>0621</t>
        </is>
      </c>
      <c r="L158" t="inlineStr">
        <is>
          <t>0621</t>
        </is>
      </c>
    </row>
    <row r="159">
      <c r="B159" t="n">
        <v>153</v>
      </c>
      <c r="C159" t="inlineStr">
        <is>
          <t>61072c</t>
        </is>
      </c>
      <c r="D159" t="inlineStr">
        <is>
          <t>61072</t>
        </is>
      </c>
      <c r="F159" t="inlineStr">
        <is>
          <t>M29113</t>
        </is>
      </c>
      <c r="H159" t="inlineStr">
        <is>
          <t>M2911300436</t>
        </is>
      </c>
      <c r="I159" t="inlineStr">
        <is>
          <t>DATA SYSTEMS ADMINISTRATOR</t>
        </is>
      </c>
      <c r="J159" t="inlineStr">
        <is>
          <t>CPL</t>
        </is>
      </c>
      <c r="K159" t="inlineStr">
        <is>
          <t>0671</t>
        </is>
      </c>
      <c r="L159" t="inlineStr">
        <is>
          <t>0671</t>
        </is>
      </c>
    </row>
    <row r="160">
      <c r="B160" t="n">
        <v>154</v>
      </c>
      <c r="C160" t="inlineStr">
        <is>
          <t>21710shf</t>
        </is>
      </c>
      <c r="D160" t="inlineStr">
        <is>
          <t>21710</t>
        </is>
      </c>
      <c r="F160" t="inlineStr">
        <is>
          <t>M29113</t>
        </is>
      </c>
      <c r="H160" t="inlineStr">
        <is>
          <t>M2911300475</t>
        </is>
      </c>
      <c r="I160" t="inlineStr">
        <is>
          <t>SATELLITE COMMUNICATIONS OPERATOR</t>
        </is>
      </c>
      <c r="J160" t="inlineStr">
        <is>
          <t>CPL</t>
        </is>
      </c>
      <c r="K160" t="inlineStr">
        <is>
          <t>0627</t>
        </is>
      </c>
      <c r="L160" t="inlineStr">
        <is>
          <t>0627</t>
        </is>
      </c>
    </row>
    <row r="161">
      <c r="B161" t="n">
        <v>155</v>
      </c>
      <c r="C161" t="inlineStr">
        <is>
          <t>44112w</t>
        </is>
      </c>
      <c r="D161" t="inlineStr">
        <is>
          <t>44112</t>
        </is>
      </c>
      <c r="F161" t="inlineStr">
        <is>
          <t>M29113</t>
        </is>
      </c>
      <c r="H161" t="inlineStr">
        <is>
          <t>M2911300249</t>
        </is>
      </c>
      <c r="I161" t="inlineStr">
        <is>
          <t>PLATOON COMMANDER</t>
        </is>
      </c>
      <c r="J161" t="inlineStr">
        <is>
          <t>1STLT</t>
        </is>
      </c>
      <c r="K161" t="inlineStr">
        <is>
          <t>0402</t>
        </is>
      </c>
      <c r="L161" t="inlineStr">
        <is>
          <t>0402</t>
        </is>
      </c>
    </row>
    <row r="162">
      <c r="B162" t="n">
        <v>156</v>
      </c>
      <c r="C162" t="inlineStr">
        <is>
          <t>21451</t>
        </is>
      </c>
      <c r="D162" t="inlineStr">
        <is>
          <t>21451</t>
        </is>
      </c>
      <c r="F162" t="inlineStr">
        <is>
          <t>M29113</t>
        </is>
      </c>
      <c r="H162" t="inlineStr">
        <is>
          <t>M2911300246</t>
        </is>
      </c>
      <c r="I162" t="inlineStr">
        <is>
          <t>PLATOON SERGEANT</t>
        </is>
      </c>
      <c r="J162" t="inlineStr">
        <is>
          <t>GYSGT</t>
        </is>
      </c>
      <c r="K162" t="inlineStr">
        <is>
          <t>3537</t>
        </is>
      </c>
      <c r="L162" t="inlineStr">
        <is>
          <t>3537</t>
        </is>
      </c>
    </row>
    <row r="163">
      <c r="B163" t="n">
        <v>157</v>
      </c>
      <c r="C163" t="inlineStr">
        <is>
          <t>61072o</t>
        </is>
      </c>
      <c r="D163" t="inlineStr">
        <is>
          <t>61072</t>
        </is>
      </c>
      <c r="F163" t="inlineStr">
        <is>
          <t>M29113</t>
        </is>
      </c>
      <c r="H163" t="inlineStr">
        <is>
          <t>M2911300250</t>
        </is>
      </c>
      <c r="I163" t="inlineStr">
        <is>
          <t>MOTOR TRANSPORT OPERATIONS CHIEF</t>
        </is>
      </c>
      <c r="J163" t="inlineStr">
        <is>
          <t>SSGT</t>
        </is>
      </c>
      <c r="K163" t="inlineStr">
        <is>
          <t>3537</t>
        </is>
      </c>
      <c r="L163" t="inlineStr">
        <is>
          <t>3537</t>
        </is>
      </c>
    </row>
    <row r="164">
      <c r="B164" t="n">
        <v>158</v>
      </c>
      <c r="C164" t="inlineStr">
        <is>
          <t>21451</t>
        </is>
      </c>
      <c r="D164" t="inlineStr">
        <is>
          <t>21451</t>
        </is>
      </c>
      <c r="F164" t="inlineStr">
        <is>
          <t>M29113</t>
        </is>
      </c>
      <c r="H164" t="inlineStr">
        <is>
          <t>M2911300259</t>
        </is>
      </c>
      <c r="I164" t="inlineStr">
        <is>
          <t>MOTOR VEHICLE OPERATOR</t>
        </is>
      </c>
      <c r="J164" t="inlineStr">
        <is>
          <t>SGT</t>
        </is>
      </c>
      <c r="K164" t="inlineStr">
        <is>
          <t>3534</t>
        </is>
      </c>
      <c r="L164" t="inlineStr">
        <is>
          <t>3531</t>
        </is>
      </c>
    </row>
    <row r="165">
      <c r="B165" t="n">
        <v>159</v>
      </c>
      <c r="C165" t="inlineStr">
        <is>
          <t>21451</t>
        </is>
      </c>
      <c r="D165" t="inlineStr">
        <is>
          <t>21451</t>
        </is>
      </c>
      <c r="F165" t="inlineStr">
        <is>
          <t>M29113</t>
        </is>
      </c>
      <c r="H165" t="inlineStr">
        <is>
          <t>M2911300251</t>
        </is>
      </c>
      <c r="I165" t="inlineStr">
        <is>
          <t>MOTOR VEHICLE OPERATOR</t>
        </is>
      </c>
      <c r="J165" t="inlineStr">
        <is>
          <t>CPL</t>
        </is>
      </c>
      <c r="K165" t="inlineStr">
        <is>
          <t>3536</t>
        </is>
      </c>
      <c r="L165" t="inlineStr">
        <is>
          <t>3531</t>
        </is>
      </c>
    </row>
    <row r="166">
      <c r="B166" t="n">
        <v>160</v>
      </c>
      <c r="C166" t="inlineStr">
        <is>
          <t>21451</t>
        </is>
      </c>
      <c r="D166" t="inlineStr">
        <is>
          <t>21451</t>
        </is>
      </c>
      <c r="F166" t="inlineStr">
        <is>
          <t>M29113</t>
        </is>
      </c>
      <c r="H166" t="inlineStr">
        <is>
          <t>M2911300316</t>
        </is>
      </c>
      <c r="I166" t="inlineStr">
        <is>
          <t>MOTOR VEHICLE OPERATOR</t>
        </is>
      </c>
      <c r="J166" t="inlineStr">
        <is>
          <t>CPL</t>
        </is>
      </c>
      <c r="K166" t="inlineStr">
        <is>
          <t>3534</t>
        </is>
      </c>
      <c r="L166" t="inlineStr">
        <is>
          <t>3531</t>
        </is>
      </c>
    </row>
    <row r="167">
      <c r="B167" t="n">
        <v>161</v>
      </c>
      <c r="C167" t="inlineStr">
        <is>
          <t>21451</t>
        </is>
      </c>
      <c r="D167" t="inlineStr">
        <is>
          <t>21451</t>
        </is>
      </c>
      <c r="F167" t="inlineStr">
        <is>
          <t>M29113</t>
        </is>
      </c>
      <c r="H167" t="inlineStr">
        <is>
          <t>M2911300330</t>
        </is>
      </c>
      <c r="I167" t="inlineStr">
        <is>
          <t>MOTOR VEHICLE OPERATOR</t>
        </is>
      </c>
      <c r="J167" t="inlineStr">
        <is>
          <t>LCPL</t>
        </is>
      </c>
      <c r="K167" t="inlineStr">
        <is>
          <t>3534</t>
        </is>
      </c>
      <c r="L167" t="inlineStr">
        <is>
          <t>3531</t>
        </is>
      </c>
    </row>
    <row r="168">
      <c r="B168" t="n">
        <v>162</v>
      </c>
      <c r="C168" t="inlineStr">
        <is>
          <t>21451</t>
        </is>
      </c>
      <c r="D168" t="inlineStr">
        <is>
          <t>21451</t>
        </is>
      </c>
      <c r="F168" t="inlineStr">
        <is>
          <t>M29113</t>
        </is>
      </c>
      <c r="H168" t="inlineStr">
        <is>
          <t>M2911300331</t>
        </is>
      </c>
      <c r="I168" t="inlineStr">
        <is>
          <t>MOTOR VEHICLE OPERATOR</t>
        </is>
      </c>
      <c r="J168" t="inlineStr">
        <is>
          <t>LCPL</t>
        </is>
      </c>
      <c r="K168" t="inlineStr">
        <is>
          <t>3531</t>
        </is>
      </c>
      <c r="L168" t="inlineStr">
        <is>
          <t>3531</t>
        </is>
      </c>
    </row>
    <row r="169">
      <c r="B169" t="n">
        <v>163</v>
      </c>
      <c r="C169" t="inlineStr">
        <is>
          <t>21451</t>
        </is>
      </c>
      <c r="D169" t="inlineStr">
        <is>
          <t>21451</t>
        </is>
      </c>
      <c r="F169" t="inlineStr">
        <is>
          <t>M29113</t>
        </is>
      </c>
      <c r="H169" t="inlineStr">
        <is>
          <t>M2911300340</t>
        </is>
      </c>
      <c r="I169" t="inlineStr">
        <is>
          <t>MOTOR VEHICLE OPERATOR</t>
        </is>
      </c>
      <c r="J169" t="inlineStr">
        <is>
          <t>LCPL</t>
        </is>
      </c>
      <c r="K169" t="inlineStr">
        <is>
          <t>3531</t>
        </is>
      </c>
      <c r="L169" t="inlineStr">
        <is>
          <t>3531</t>
        </is>
      </c>
    </row>
    <row r="170">
      <c r="B170" t="n">
        <v>164</v>
      </c>
      <c r="C170" t="inlineStr">
        <is>
          <t>21451</t>
        </is>
      </c>
      <c r="D170" t="inlineStr">
        <is>
          <t>21451</t>
        </is>
      </c>
      <c r="F170" t="inlineStr">
        <is>
          <t>M29113</t>
        </is>
      </c>
      <c r="H170" t="inlineStr">
        <is>
          <t>M2911300446</t>
        </is>
      </c>
      <c r="I170" t="inlineStr">
        <is>
          <t>MOTOR VEHICLE OPERATOR</t>
        </is>
      </c>
      <c r="J170" t="inlineStr">
        <is>
          <t>SGT</t>
        </is>
      </c>
      <c r="K170" t="inlineStr">
        <is>
          <t>3531</t>
        </is>
      </c>
      <c r="L170" t="inlineStr">
        <is>
          <t>3531</t>
        </is>
      </c>
    </row>
    <row r="171">
      <c r="B171" t="n">
        <v>165</v>
      </c>
      <c r="C171" t="inlineStr">
        <is>
          <t>21451</t>
        </is>
      </c>
      <c r="D171" t="inlineStr">
        <is>
          <t>21451</t>
        </is>
      </c>
      <c r="F171" t="inlineStr">
        <is>
          <t>M29113</t>
        </is>
      </c>
      <c r="H171" t="inlineStr">
        <is>
          <t>M2911300447</t>
        </is>
      </c>
      <c r="I171" t="inlineStr">
        <is>
          <t>MOTOR VEHICLE OPERATOR</t>
        </is>
      </c>
      <c r="J171" t="inlineStr">
        <is>
          <t>CPL</t>
        </is>
      </c>
      <c r="K171" t="inlineStr">
        <is>
          <t>3536</t>
        </is>
      </c>
      <c r="L171" t="inlineStr">
        <is>
          <t>3531</t>
        </is>
      </c>
    </row>
    <row r="172">
      <c r="B172" t="n">
        <v>166</v>
      </c>
      <c r="C172" t="inlineStr">
        <is>
          <t>21451</t>
        </is>
      </c>
      <c r="D172" t="inlineStr">
        <is>
          <t>21451</t>
        </is>
      </c>
      <c r="F172" t="inlineStr">
        <is>
          <t>M29113</t>
        </is>
      </c>
      <c r="H172" t="inlineStr">
        <is>
          <t>M2911300448</t>
        </is>
      </c>
      <c r="I172" t="inlineStr">
        <is>
          <t>MOTOR VEHICLE OPERATOR</t>
        </is>
      </c>
      <c r="J172" t="inlineStr">
        <is>
          <t>CPL</t>
        </is>
      </c>
      <c r="K172" t="inlineStr">
        <is>
          <t>3536</t>
        </is>
      </c>
      <c r="L172" t="inlineStr">
        <is>
          <t>3531</t>
        </is>
      </c>
    </row>
    <row r="173">
      <c r="B173" t="n">
        <v>167</v>
      </c>
      <c r="C173" t="inlineStr">
        <is>
          <t>21451</t>
        </is>
      </c>
      <c r="D173" t="inlineStr">
        <is>
          <t>21451</t>
        </is>
      </c>
      <c r="F173" t="inlineStr">
        <is>
          <t>M29113</t>
        </is>
      </c>
      <c r="H173" t="inlineStr">
        <is>
          <t>M2911300449</t>
        </is>
      </c>
      <c r="I173" t="inlineStr">
        <is>
          <t>MOTOR VEHICLE OPERATOR</t>
        </is>
      </c>
      <c r="J173" t="inlineStr">
        <is>
          <t>LCPL</t>
        </is>
      </c>
      <c r="K173" t="inlineStr">
        <is>
          <t>3536</t>
        </is>
      </c>
      <c r="L173" t="inlineStr">
        <is>
          <t>3531</t>
        </is>
      </c>
    </row>
    <row r="174">
      <c r="B174" t="n">
        <v>168</v>
      </c>
      <c r="C174" t="inlineStr">
        <is>
          <t>21451</t>
        </is>
      </c>
      <c r="D174" t="inlineStr">
        <is>
          <t>21451</t>
        </is>
      </c>
      <c r="F174" t="inlineStr">
        <is>
          <t>M29113</t>
        </is>
      </c>
      <c r="H174" t="inlineStr">
        <is>
          <t>M2911300450</t>
        </is>
      </c>
      <c r="I174" t="inlineStr">
        <is>
          <t>MOTOR VEHICLE OPERATOR</t>
        </is>
      </c>
      <c r="J174" t="inlineStr">
        <is>
          <t>LCPL</t>
        </is>
      </c>
      <c r="K174" t="inlineStr">
        <is>
          <t>3531</t>
        </is>
      </c>
      <c r="L174" t="inlineStr">
        <is>
          <t>3531</t>
        </is>
      </c>
    </row>
    <row r="175">
      <c r="B175" t="n">
        <v>169</v>
      </c>
      <c r="C175" t="inlineStr">
        <is>
          <t>21451</t>
        </is>
      </c>
      <c r="D175" t="inlineStr">
        <is>
          <t>21451</t>
        </is>
      </c>
      <c r="F175" t="inlineStr">
        <is>
          <t>M29113</t>
        </is>
      </c>
      <c r="H175" t="inlineStr">
        <is>
          <t>M2911300451</t>
        </is>
      </c>
      <c r="I175" t="inlineStr">
        <is>
          <t>MOTOR VEHICLE OPERATOR</t>
        </is>
      </c>
      <c r="J175" t="inlineStr">
        <is>
          <t>LCPL</t>
        </is>
      </c>
      <c r="K175" t="inlineStr">
        <is>
          <t>3531</t>
        </is>
      </c>
      <c r="L175" t="inlineStr">
        <is>
          <t>3531</t>
        </is>
      </c>
    </row>
    <row r="176">
      <c r="B176" t="n">
        <v>170</v>
      </c>
      <c r="C176" t="inlineStr">
        <is>
          <t>21451</t>
        </is>
      </c>
      <c r="D176" t="inlineStr">
        <is>
          <t>21451</t>
        </is>
      </c>
      <c r="F176" t="inlineStr">
        <is>
          <t>M29113</t>
        </is>
      </c>
      <c r="H176" t="inlineStr">
        <is>
          <t>M2911300452</t>
        </is>
      </c>
      <c r="I176" t="inlineStr">
        <is>
          <t>MOTOR TRANSPORT MAINTENANCE CHIEF</t>
        </is>
      </c>
      <c r="J176" t="inlineStr">
        <is>
          <t>SSGT</t>
        </is>
      </c>
      <c r="K176" t="inlineStr">
        <is>
          <t>3529</t>
        </is>
      </c>
      <c r="L176" t="inlineStr">
        <is>
          <t>3529</t>
        </is>
      </c>
    </row>
    <row r="177">
      <c r="B177" t="n">
        <v>171</v>
      </c>
      <c r="C177" t="inlineStr">
        <is>
          <t>21451</t>
        </is>
      </c>
      <c r="D177" t="inlineStr">
        <is>
          <t>21451</t>
        </is>
      </c>
      <c r="F177" t="inlineStr">
        <is>
          <t>M29113</t>
        </is>
      </c>
      <c r="H177" t="inlineStr">
        <is>
          <t>M2911300453</t>
        </is>
      </c>
      <c r="I177" t="inlineStr">
        <is>
          <t>AUTOMOTIVE MAINTENANCE TECHNICIAN</t>
        </is>
      </c>
      <c r="J177" t="inlineStr">
        <is>
          <t>SGT</t>
        </is>
      </c>
      <c r="K177" t="inlineStr">
        <is>
          <t>3521</t>
        </is>
      </c>
      <c r="L177" t="inlineStr">
        <is>
          <t>3521</t>
        </is>
      </c>
    </row>
    <row r="178">
      <c r="B178" t="n">
        <v>172</v>
      </c>
      <c r="C178" t="inlineStr">
        <is>
          <t>21451</t>
        </is>
      </c>
      <c r="D178" t="inlineStr">
        <is>
          <t>21451</t>
        </is>
      </c>
      <c r="F178" t="inlineStr">
        <is>
          <t>M29113</t>
        </is>
      </c>
      <c r="H178" t="inlineStr">
        <is>
          <t>M2911300454</t>
        </is>
      </c>
      <c r="I178" t="inlineStr">
        <is>
          <t>AUTOMOTIVE MAINTENANCE TECHNICIAN</t>
        </is>
      </c>
      <c r="J178" t="inlineStr">
        <is>
          <t>CPL</t>
        </is>
      </c>
      <c r="K178" t="inlineStr">
        <is>
          <t>3521</t>
        </is>
      </c>
      <c r="L178" t="inlineStr">
        <is>
          <t>3521</t>
        </is>
      </c>
    </row>
    <row r="179">
      <c r="B179" t="n">
        <v>173</v>
      </c>
      <c r="C179" t="inlineStr">
        <is>
          <t>21451</t>
        </is>
      </c>
      <c r="D179" t="inlineStr">
        <is>
          <t>21451</t>
        </is>
      </c>
      <c r="F179" t="inlineStr">
        <is>
          <t>M29113</t>
        </is>
      </c>
      <c r="H179" t="inlineStr">
        <is>
          <t>M2911300455</t>
        </is>
      </c>
      <c r="I179" t="inlineStr">
        <is>
          <t>AUTOMOTIVE MAINTENANCE TECHNICIAN</t>
        </is>
      </c>
      <c r="J179" t="inlineStr">
        <is>
          <t>CPL</t>
        </is>
      </c>
      <c r="K179" t="inlineStr">
        <is>
          <t>3521</t>
        </is>
      </c>
      <c r="L179" t="inlineStr">
        <is>
          <t>3521</t>
        </is>
      </c>
    </row>
    <row r="180">
      <c r="B180" t="n">
        <v>174</v>
      </c>
      <c r="C180" t="inlineStr">
        <is>
          <t>44112w</t>
        </is>
      </c>
      <c r="D180" t="inlineStr">
        <is>
          <t>44112</t>
        </is>
      </c>
      <c r="F180" t="inlineStr">
        <is>
          <t>M29113</t>
        </is>
      </c>
      <c r="H180" t="inlineStr">
        <is>
          <t>M2911300350</t>
        </is>
      </c>
      <c r="I180" t="inlineStr">
        <is>
          <t>DISTRIBUTION CHIEF</t>
        </is>
      </c>
      <c r="J180" t="inlineStr">
        <is>
          <t>SSGT</t>
        </is>
      </c>
      <c r="K180" t="inlineStr">
        <is>
          <t>0441</t>
        </is>
      </c>
      <c r="L180" t="inlineStr">
        <is>
          <t>0441</t>
        </is>
      </c>
    </row>
    <row r="181">
      <c r="B181" t="n">
        <v>175</v>
      </c>
      <c r="C181" t="inlineStr">
        <is>
          <t>44112w</t>
        </is>
      </c>
      <c r="D181" t="inlineStr">
        <is>
          <t>44112</t>
        </is>
      </c>
      <c r="F181" t="inlineStr">
        <is>
          <t>M29113</t>
        </is>
      </c>
      <c r="H181" t="inlineStr">
        <is>
          <t>M2911300352</t>
        </is>
      </c>
      <c r="I181" t="inlineStr">
        <is>
          <t>TEAM LEADER</t>
        </is>
      </c>
      <c r="J181" t="inlineStr">
        <is>
          <t>SGT</t>
        </is>
      </c>
      <c r="K181" t="inlineStr">
        <is>
          <t>0441</t>
        </is>
      </c>
      <c r="L181" t="inlineStr">
        <is>
          <t>0441</t>
        </is>
      </c>
    </row>
    <row r="182">
      <c r="B182" t="n">
        <v>176</v>
      </c>
      <c r="C182" t="inlineStr">
        <is>
          <t>44112w</t>
        </is>
      </c>
      <c r="D182" t="inlineStr">
        <is>
          <t>44112</t>
        </is>
      </c>
      <c r="F182" t="inlineStr">
        <is>
          <t>M29113</t>
        </is>
      </c>
      <c r="H182" t="inlineStr">
        <is>
          <t>M2911300354</t>
        </is>
      </c>
      <c r="I182" t="inlineStr">
        <is>
          <t>LOGISTICS SPECIALIST</t>
        </is>
      </c>
      <c r="J182" t="inlineStr">
        <is>
          <t>CPL</t>
        </is>
      </c>
      <c r="K182" t="inlineStr">
        <is>
          <t>0441</t>
        </is>
      </c>
      <c r="L182" t="inlineStr">
        <is>
          <t>0441</t>
        </is>
      </c>
    </row>
    <row r="183">
      <c r="B183" t="n">
        <v>177</v>
      </c>
      <c r="C183" t="inlineStr">
        <is>
          <t>44112w</t>
        </is>
      </c>
      <c r="D183" t="inlineStr">
        <is>
          <t>44112</t>
        </is>
      </c>
      <c r="F183" t="inlineStr">
        <is>
          <t>M29113</t>
        </is>
      </c>
      <c r="H183" t="inlineStr">
        <is>
          <t>M2911300355</t>
        </is>
      </c>
      <c r="I183" t="inlineStr">
        <is>
          <t>LOGISTICS SPECIALIST</t>
        </is>
      </c>
      <c r="J183" t="inlineStr">
        <is>
          <t>LCPL</t>
        </is>
      </c>
      <c r="K183" t="inlineStr">
        <is>
          <t>0441</t>
        </is>
      </c>
      <c r="L183" t="inlineStr">
        <is>
          <t>0441</t>
        </is>
      </c>
    </row>
    <row r="184">
      <c r="B184" t="n">
        <v>178</v>
      </c>
      <c r="C184" t="inlineStr">
        <is>
          <t>44112w</t>
        </is>
      </c>
      <c r="D184" t="inlineStr">
        <is>
          <t>44112</t>
        </is>
      </c>
      <c r="F184" t="inlineStr">
        <is>
          <t>M29113</t>
        </is>
      </c>
      <c r="H184" t="inlineStr">
        <is>
          <t>M2911300356</t>
        </is>
      </c>
      <c r="I184" t="inlineStr">
        <is>
          <t>LOGISTICS SPECIALIST</t>
        </is>
      </c>
      <c r="J184" t="inlineStr">
        <is>
          <t>LCPL</t>
        </is>
      </c>
      <c r="K184" t="inlineStr">
        <is>
          <t>0441</t>
        </is>
      </c>
      <c r="L184" t="inlineStr">
        <is>
          <t>0441</t>
        </is>
      </c>
    </row>
    <row r="185">
      <c r="B185" t="n">
        <v>179</v>
      </c>
      <c r="C185" t="inlineStr">
        <is>
          <t>44112w</t>
        </is>
      </c>
      <c r="D185" t="inlineStr">
        <is>
          <t>44112</t>
        </is>
      </c>
      <c r="F185" t="inlineStr">
        <is>
          <t>M29113</t>
        </is>
      </c>
      <c r="H185" t="inlineStr">
        <is>
          <t>M2911300357</t>
        </is>
      </c>
      <c r="I185" t="inlineStr">
        <is>
          <t>TEAM LEADER</t>
        </is>
      </c>
      <c r="J185" t="inlineStr">
        <is>
          <t>SGT</t>
        </is>
      </c>
      <c r="K185" t="inlineStr">
        <is>
          <t>0441</t>
        </is>
      </c>
      <c r="L185" t="inlineStr">
        <is>
          <t>0441</t>
        </is>
      </c>
    </row>
    <row r="186">
      <c r="B186" t="n">
        <v>180</v>
      </c>
      <c r="C186" t="inlineStr">
        <is>
          <t>44112w</t>
        </is>
      </c>
      <c r="D186" t="inlineStr">
        <is>
          <t>44112</t>
        </is>
      </c>
      <c r="F186" t="inlineStr">
        <is>
          <t>M29113</t>
        </is>
      </c>
      <c r="H186" t="inlineStr">
        <is>
          <t>M2911300358</t>
        </is>
      </c>
      <c r="I186" t="inlineStr">
        <is>
          <t>LOGISTICS SPECIALIST</t>
        </is>
      </c>
      <c r="J186" t="inlineStr">
        <is>
          <t>CPL</t>
        </is>
      </c>
      <c r="K186" t="inlineStr">
        <is>
          <t>0441</t>
        </is>
      </c>
      <c r="L186" t="inlineStr">
        <is>
          <t>0441</t>
        </is>
      </c>
    </row>
    <row r="187">
      <c r="B187" t="n">
        <v>181</v>
      </c>
      <c r="C187" t="inlineStr">
        <is>
          <t>44112w</t>
        </is>
      </c>
      <c r="D187" t="inlineStr">
        <is>
          <t>44112</t>
        </is>
      </c>
      <c r="F187" t="inlineStr">
        <is>
          <t>M29113</t>
        </is>
      </c>
      <c r="H187" t="inlineStr">
        <is>
          <t>M2911300359</t>
        </is>
      </c>
      <c r="I187" t="inlineStr">
        <is>
          <t>LOGISTICS SPECIALIST</t>
        </is>
      </c>
      <c r="J187" t="inlineStr">
        <is>
          <t>CPL</t>
        </is>
      </c>
      <c r="K187" t="inlineStr">
        <is>
          <t>0441</t>
        </is>
      </c>
      <c r="L187" t="inlineStr">
        <is>
          <t>0441</t>
        </is>
      </c>
    </row>
    <row r="188">
      <c r="B188" t="n">
        <v>182</v>
      </c>
      <c r="C188" t="inlineStr">
        <is>
          <t>44112w</t>
        </is>
      </c>
      <c r="D188" t="inlineStr">
        <is>
          <t>44112</t>
        </is>
      </c>
      <c r="F188" t="inlineStr">
        <is>
          <t>M29113</t>
        </is>
      </c>
      <c r="H188" t="inlineStr">
        <is>
          <t>M2911300360</t>
        </is>
      </c>
      <c r="I188" t="inlineStr">
        <is>
          <t>LOGISTICS SPECIALIST</t>
        </is>
      </c>
      <c r="J188" t="inlineStr">
        <is>
          <t>LCPL</t>
        </is>
      </c>
      <c r="K188" t="inlineStr">
        <is>
          <t>0441</t>
        </is>
      </c>
      <c r="L188" t="inlineStr">
        <is>
          <t>0441</t>
        </is>
      </c>
    </row>
    <row r="189">
      <c r="B189" t="n">
        <v>183</v>
      </c>
      <c r="C189" t="inlineStr">
        <is>
          <t>44112w</t>
        </is>
      </c>
      <c r="D189" t="inlineStr">
        <is>
          <t>44112</t>
        </is>
      </c>
      <c r="F189" t="inlineStr">
        <is>
          <t>M29113</t>
        </is>
      </c>
      <c r="H189" t="inlineStr">
        <is>
          <t>M2911300456</t>
        </is>
      </c>
      <c r="I189" t="inlineStr">
        <is>
          <t>LOGISTICS SPECIALIST</t>
        </is>
      </c>
      <c r="J189" t="inlineStr">
        <is>
          <t>PFC</t>
        </is>
      </c>
      <c r="K189" t="inlineStr">
        <is>
          <t>0441</t>
        </is>
      </c>
      <c r="L189" t="inlineStr">
        <is>
          <t>0441</t>
        </is>
      </c>
    </row>
    <row r="190">
      <c r="B190" t="n">
        <v>184</v>
      </c>
      <c r="C190" t="inlineStr">
        <is>
          <t>61072o</t>
        </is>
      </c>
      <c r="D190" t="inlineStr">
        <is>
          <t>61072</t>
        </is>
      </c>
      <c r="F190" t="inlineStr">
        <is>
          <t>M29113</t>
        </is>
      </c>
      <c r="H190" t="inlineStr">
        <is>
          <t>M2911300457</t>
        </is>
      </c>
      <c r="I190" t="inlineStr">
        <is>
          <t>ENGINEER OPERATIONS CHIEF</t>
        </is>
      </c>
      <c r="J190" t="inlineStr">
        <is>
          <t>GYSGT</t>
        </is>
      </c>
      <c r="K190" t="inlineStr">
        <is>
          <t>1371</t>
        </is>
      </c>
      <c r="L190" t="inlineStr">
        <is>
          <t>1371</t>
        </is>
      </c>
    </row>
    <row r="191">
      <c r="B191" t="n">
        <v>185</v>
      </c>
      <c r="C191" t="inlineStr">
        <is>
          <t>21730</t>
        </is>
      </c>
      <c r="D191" t="inlineStr">
        <is>
          <t>21730</t>
        </is>
      </c>
      <c r="F191" t="inlineStr">
        <is>
          <t>M29113</t>
        </is>
      </c>
      <c r="H191" t="inlineStr">
        <is>
          <t>M2911300458</t>
        </is>
      </c>
      <c r="I191" t="inlineStr">
        <is>
          <t>COMBAT ENGINEER</t>
        </is>
      </c>
      <c r="J191" t="inlineStr">
        <is>
          <t>SGT</t>
        </is>
      </c>
      <c r="K191" t="inlineStr">
        <is>
          <t>1371</t>
        </is>
      </c>
      <c r="L191" t="inlineStr">
        <is>
          <t>1371</t>
        </is>
      </c>
    </row>
    <row r="192">
      <c r="B192" t="n">
        <v>186</v>
      </c>
      <c r="C192" t="inlineStr">
        <is>
          <t>21730</t>
        </is>
      </c>
      <c r="D192" t="inlineStr">
        <is>
          <t>21730</t>
        </is>
      </c>
      <c r="F192" t="inlineStr">
        <is>
          <t>M29113</t>
        </is>
      </c>
      <c r="H192" t="inlineStr">
        <is>
          <t>M2911300477</t>
        </is>
      </c>
      <c r="I192" t="inlineStr">
        <is>
          <t>COMBAT ENGINEER</t>
        </is>
      </c>
      <c r="J192" t="inlineStr">
        <is>
          <t>CPL</t>
        </is>
      </c>
      <c r="K192" t="inlineStr">
        <is>
          <t>1371</t>
        </is>
      </c>
      <c r="L192" t="inlineStr">
        <is>
          <t>1371</t>
        </is>
      </c>
    </row>
    <row r="193">
      <c r="B193" t="n">
        <v>187</v>
      </c>
      <c r="C193" t="inlineStr">
        <is>
          <t>21730</t>
        </is>
      </c>
      <c r="D193" t="inlineStr">
        <is>
          <t>21730</t>
        </is>
      </c>
      <c r="F193" t="inlineStr">
        <is>
          <t>M29113</t>
        </is>
      </c>
      <c r="H193" t="inlineStr">
        <is>
          <t>M2911300459</t>
        </is>
      </c>
      <c r="I193" t="inlineStr">
        <is>
          <t>COMBAT ENGINEER</t>
        </is>
      </c>
      <c r="J193" t="inlineStr">
        <is>
          <t>CPL</t>
        </is>
      </c>
      <c r="K193" t="inlineStr">
        <is>
          <t>1371</t>
        </is>
      </c>
      <c r="L193" t="inlineStr">
        <is>
          <t>1371</t>
        </is>
      </c>
    </row>
    <row r="194">
      <c r="B194" t="n">
        <v>188</v>
      </c>
      <c r="C194" t="inlineStr">
        <is>
          <t>21730</t>
        </is>
      </c>
      <c r="D194" t="inlineStr">
        <is>
          <t>21730</t>
        </is>
      </c>
      <c r="F194" t="inlineStr">
        <is>
          <t>M29113</t>
        </is>
      </c>
      <c r="H194" t="inlineStr">
        <is>
          <t>M2911300460</t>
        </is>
      </c>
      <c r="I194" t="inlineStr">
        <is>
          <t>COMBAT ENGINEER</t>
        </is>
      </c>
      <c r="J194" t="inlineStr">
        <is>
          <t>LCPL</t>
        </is>
      </c>
      <c r="K194" t="inlineStr">
        <is>
          <t>1371</t>
        </is>
      </c>
      <c r="L194" t="inlineStr">
        <is>
          <t>1371</t>
        </is>
      </c>
    </row>
    <row r="195">
      <c r="B195" t="n">
        <v>189</v>
      </c>
      <c r="C195" t="inlineStr">
        <is>
          <t>21730</t>
        </is>
      </c>
      <c r="D195" t="inlineStr">
        <is>
          <t>21730</t>
        </is>
      </c>
      <c r="F195" t="inlineStr">
        <is>
          <t>M29113</t>
        </is>
      </c>
      <c r="H195" t="inlineStr">
        <is>
          <t>M2911300481</t>
        </is>
      </c>
      <c r="I195" t="inlineStr">
        <is>
          <t>COMBAT ENGINEER</t>
        </is>
      </c>
      <c r="J195" t="inlineStr">
        <is>
          <t>LCPL</t>
        </is>
      </c>
      <c r="K195" t="inlineStr">
        <is>
          <t>1371</t>
        </is>
      </c>
      <c r="L195" t="inlineStr">
        <is>
          <t>1371</t>
        </is>
      </c>
    </row>
    <row r="196">
      <c r="B196" t="n">
        <v>190</v>
      </c>
      <c r="C196" t="inlineStr">
        <is>
          <t>21730</t>
        </is>
      </c>
      <c r="D196" t="inlineStr">
        <is>
          <t>21730</t>
        </is>
      </c>
      <c r="F196" t="inlineStr">
        <is>
          <t>M29113</t>
        </is>
      </c>
      <c r="H196" t="inlineStr">
        <is>
          <t>M2911300461</t>
        </is>
      </c>
      <c r="I196" t="inlineStr">
        <is>
          <t>EXPEDITIONARY FUELS TECHNICIAN</t>
        </is>
      </c>
      <c r="J196" t="inlineStr">
        <is>
          <t>SSGT</t>
        </is>
      </c>
      <c r="K196" t="inlineStr">
        <is>
          <t>1391</t>
        </is>
      </c>
      <c r="L196" t="inlineStr">
        <is>
          <t>1391</t>
        </is>
      </c>
    </row>
    <row r="197">
      <c r="B197" t="n">
        <v>191</v>
      </c>
      <c r="C197" t="inlineStr">
        <is>
          <t>21730</t>
        </is>
      </c>
      <c r="D197" t="inlineStr">
        <is>
          <t>21730</t>
        </is>
      </c>
      <c r="F197" t="inlineStr">
        <is>
          <t>M29113</t>
        </is>
      </c>
      <c r="H197" t="inlineStr">
        <is>
          <t>M2911300462</t>
        </is>
      </c>
      <c r="I197" t="inlineStr">
        <is>
          <t>EXPEDITIONARY FUELS TECHNICIAN</t>
        </is>
      </c>
      <c r="J197" t="inlineStr">
        <is>
          <t>SGT</t>
        </is>
      </c>
      <c r="K197" t="inlineStr">
        <is>
          <t>1391</t>
        </is>
      </c>
      <c r="L197" t="inlineStr">
        <is>
          <t>1391</t>
        </is>
      </c>
    </row>
    <row r="198">
      <c r="B198" t="n">
        <v>192</v>
      </c>
      <c r="C198" t="inlineStr">
        <is>
          <t>21730</t>
        </is>
      </c>
      <c r="D198" t="inlineStr">
        <is>
          <t>21730</t>
        </is>
      </c>
      <c r="F198" t="inlineStr">
        <is>
          <t>M29113</t>
        </is>
      </c>
      <c r="H198" t="inlineStr">
        <is>
          <t>M2911300463</t>
        </is>
      </c>
      <c r="I198" t="inlineStr">
        <is>
          <t>PETROLEUM QUALITY ASSURANCE/ADDITIZATION SPECIALIST</t>
        </is>
      </c>
      <c r="J198" t="inlineStr">
        <is>
          <t>CPL</t>
        </is>
      </c>
      <c r="K198" t="inlineStr">
        <is>
          <t>1392</t>
        </is>
      </c>
      <c r="L198" t="inlineStr">
        <is>
          <t>1391</t>
        </is>
      </c>
    </row>
    <row r="199">
      <c r="B199" t="n">
        <v>193</v>
      </c>
      <c r="C199" t="inlineStr">
        <is>
          <t>21730</t>
        </is>
      </c>
      <c r="D199" t="inlineStr">
        <is>
          <t>21730</t>
        </is>
      </c>
      <c r="F199" t="inlineStr">
        <is>
          <t>M29113</t>
        </is>
      </c>
      <c r="H199" t="inlineStr">
        <is>
          <t>M2911300465</t>
        </is>
      </c>
      <c r="I199" t="inlineStr">
        <is>
          <t>ELECTRICIAN</t>
        </is>
      </c>
      <c r="J199" t="inlineStr">
        <is>
          <t>SGT</t>
        </is>
      </c>
      <c r="K199" t="inlineStr">
        <is>
          <t>1141</t>
        </is>
      </c>
      <c r="L199" t="inlineStr">
        <is>
          <t>1141</t>
        </is>
      </c>
    </row>
    <row r="200">
      <c r="B200" t="n">
        <v>194</v>
      </c>
      <c r="C200" t="inlineStr">
        <is>
          <t>21730</t>
        </is>
      </c>
      <c r="D200" t="inlineStr">
        <is>
          <t>21730</t>
        </is>
      </c>
      <c r="F200" t="inlineStr">
        <is>
          <t>M29113</t>
        </is>
      </c>
      <c r="H200" t="inlineStr">
        <is>
          <t>M2911300480</t>
        </is>
      </c>
      <c r="I200" t="inlineStr">
        <is>
          <t>ELECTRICIAN</t>
        </is>
      </c>
      <c r="J200" t="inlineStr">
        <is>
          <t>CPL</t>
        </is>
      </c>
      <c r="K200" t="inlineStr">
        <is>
          <t>1141</t>
        </is>
      </c>
      <c r="L200" t="inlineStr">
        <is>
          <t>1141</t>
        </is>
      </c>
    </row>
    <row r="201">
      <c r="B201" t="n">
        <v>195</v>
      </c>
      <c r="C201" t="inlineStr">
        <is>
          <t>21730</t>
        </is>
      </c>
      <c r="D201" t="inlineStr">
        <is>
          <t>21730</t>
        </is>
      </c>
      <c r="F201" t="inlineStr">
        <is>
          <t>M29113</t>
        </is>
      </c>
      <c r="H201" t="inlineStr">
        <is>
          <t>M2911300468</t>
        </is>
      </c>
      <c r="I201" t="inlineStr">
        <is>
          <t>UTILITIES SYSTEMS TECHNICIAN NCO</t>
        </is>
      </c>
      <c r="J201" t="inlineStr">
        <is>
          <t>SGT</t>
        </is>
      </c>
      <c r="K201" t="inlineStr">
        <is>
          <t>1164</t>
        </is>
      </c>
      <c r="L201" t="inlineStr">
        <is>
          <t>1164</t>
        </is>
      </c>
    </row>
    <row r="202">
      <c r="B202" t="n">
        <v>196</v>
      </c>
      <c r="C202" t="inlineStr">
        <is>
          <t>21730</t>
        </is>
      </c>
      <c r="D202" t="inlineStr">
        <is>
          <t>21730</t>
        </is>
      </c>
      <c r="F202" t="inlineStr">
        <is>
          <t>M29113</t>
        </is>
      </c>
      <c r="H202" t="inlineStr">
        <is>
          <t>M2911300478</t>
        </is>
      </c>
      <c r="I202" t="inlineStr">
        <is>
          <t>UTILITIES SYSTEMS TECHNICIAN NCO</t>
        </is>
      </c>
      <c r="J202" t="inlineStr">
        <is>
          <t>CPL</t>
        </is>
      </c>
      <c r="K202" t="inlineStr">
        <is>
          <t>1164</t>
        </is>
      </c>
      <c r="L202" t="inlineStr">
        <is>
          <t>1164</t>
        </is>
      </c>
    </row>
    <row r="203">
      <c r="B203" t="n">
        <v>197</v>
      </c>
      <c r="C203" t="inlineStr">
        <is>
          <t>21730</t>
        </is>
      </c>
      <c r="D203" t="inlineStr">
        <is>
          <t>21730</t>
        </is>
      </c>
      <c r="F203" t="inlineStr">
        <is>
          <t>M29113</t>
        </is>
      </c>
      <c r="H203" t="inlineStr">
        <is>
          <t>M2911300464</t>
        </is>
      </c>
      <c r="I203" t="inlineStr">
        <is>
          <t>ENGINEER EQUIPMENT OPERATOR</t>
        </is>
      </c>
      <c r="J203" t="inlineStr">
        <is>
          <t>SGT</t>
        </is>
      </c>
      <c r="K203" t="inlineStr">
        <is>
          <t>1345</t>
        </is>
      </c>
      <c r="L203" t="inlineStr">
        <is>
          <t>1345</t>
        </is>
      </c>
    </row>
    <row r="204">
      <c r="B204" t="n">
        <v>198</v>
      </c>
      <c r="C204" t="inlineStr">
        <is>
          <t>21730</t>
        </is>
      </c>
      <c r="D204" t="inlineStr">
        <is>
          <t>21730</t>
        </is>
      </c>
      <c r="F204" t="inlineStr">
        <is>
          <t>M29113</t>
        </is>
      </c>
      <c r="H204" t="inlineStr">
        <is>
          <t>M2911300466</t>
        </is>
      </c>
      <c r="I204" t="inlineStr">
        <is>
          <t>ENGINEER EQUIPMENT OPERATOR</t>
        </is>
      </c>
      <c r="J204" t="inlineStr">
        <is>
          <t>CPL</t>
        </is>
      </c>
      <c r="K204" t="inlineStr">
        <is>
          <t>1345</t>
        </is>
      </c>
      <c r="L204" t="inlineStr">
        <is>
          <t>1345</t>
        </is>
      </c>
    </row>
    <row r="205">
      <c r="B205" t="n">
        <v>199</v>
      </c>
      <c r="C205" t="inlineStr">
        <is>
          <t>21730</t>
        </is>
      </c>
      <c r="D205" t="inlineStr">
        <is>
          <t>21730</t>
        </is>
      </c>
      <c r="F205" t="inlineStr">
        <is>
          <t>M29113</t>
        </is>
      </c>
      <c r="H205" t="inlineStr">
        <is>
          <t>M2911300467</t>
        </is>
      </c>
      <c r="I205" t="inlineStr">
        <is>
          <t>ENGINEER EQUIPMENT OPERATOR</t>
        </is>
      </c>
      <c r="J205" t="inlineStr">
        <is>
          <t>CPL</t>
        </is>
      </c>
      <c r="K205" t="inlineStr">
        <is>
          <t>1345</t>
        </is>
      </c>
      <c r="L205" t="inlineStr">
        <is>
          <t>1345</t>
        </is>
      </c>
    </row>
    <row r="206">
      <c r="B206" t="n">
        <v>200</v>
      </c>
      <c r="C206" t="inlineStr">
        <is>
          <t>21730</t>
        </is>
      </c>
      <c r="D206" t="inlineStr">
        <is>
          <t>21730</t>
        </is>
      </c>
      <c r="F206" t="inlineStr">
        <is>
          <t>M29113</t>
        </is>
      </c>
      <c r="H206" t="inlineStr">
        <is>
          <t>M2911300476</t>
        </is>
      </c>
      <c r="I206" t="inlineStr">
        <is>
          <t>WATER SUPPORT CHIEF</t>
        </is>
      </c>
      <c r="J206" t="inlineStr">
        <is>
          <t>SSGT</t>
        </is>
      </c>
      <c r="K206" t="inlineStr">
        <is>
          <t>1171</t>
        </is>
      </c>
      <c r="L206" t="inlineStr">
        <is>
          <t>1171</t>
        </is>
      </c>
    </row>
    <row r="207">
      <c r="B207" t="n">
        <v>201</v>
      </c>
      <c r="C207" t="inlineStr">
        <is>
          <t>21730</t>
        </is>
      </c>
      <c r="D207" t="inlineStr">
        <is>
          <t>21730</t>
        </is>
      </c>
      <c r="F207" t="inlineStr">
        <is>
          <t>M29113</t>
        </is>
      </c>
      <c r="H207" t="inlineStr">
        <is>
          <t>M2911300479</t>
        </is>
      </c>
      <c r="I207" t="inlineStr">
        <is>
          <t>WATER SUPPORT NCO</t>
        </is>
      </c>
      <c r="J207" t="inlineStr">
        <is>
          <t>CPL</t>
        </is>
      </c>
      <c r="K207" t="inlineStr">
        <is>
          <t>1171</t>
        </is>
      </c>
      <c r="L207" t="inlineStr">
        <is>
          <t>1171</t>
        </is>
      </c>
    </row>
    <row r="208">
      <c r="B208" t="n">
        <v>202</v>
      </c>
      <c r="C208" t="inlineStr">
        <is>
          <t>44112w</t>
        </is>
      </c>
      <c r="D208" t="inlineStr">
        <is>
          <t>44112</t>
        </is>
      </c>
      <c r="F208" t="inlineStr">
        <is>
          <t>M29114</t>
        </is>
      </c>
      <c r="H208" t="inlineStr">
        <is>
          <t>M2911400014</t>
        </is>
      </c>
      <c r="I208" t="inlineStr">
        <is>
          <t>COMPANY COMMANDER</t>
        </is>
      </c>
      <c r="J208" t="inlineStr">
        <is>
          <t>MAJ</t>
        </is>
      </c>
      <c r="K208" t="inlineStr">
        <is>
          <t>3002</t>
        </is>
      </c>
      <c r="L208" t="inlineStr">
        <is>
          <t>3002</t>
        </is>
      </c>
    </row>
    <row r="209">
      <c r="B209" t="n">
        <v>203</v>
      </c>
      <c r="C209" t="inlineStr">
        <is>
          <t>61072o</t>
        </is>
      </c>
      <c r="D209" t="inlineStr">
        <is>
          <t>61072</t>
        </is>
      </c>
      <c r="F209" t="inlineStr">
        <is>
          <t>M29114</t>
        </is>
      </c>
      <c r="H209" t="inlineStr">
        <is>
          <t>M2911400015</t>
        </is>
      </c>
      <c r="I209" t="inlineStr">
        <is>
          <t>UNIT SENIOR ENLISTED LEADER</t>
        </is>
      </c>
      <c r="J209" t="inlineStr">
        <is>
          <t>1STSGT</t>
        </is>
      </c>
      <c r="K209" t="inlineStr">
        <is>
          <t>8999</t>
        </is>
      </c>
      <c r="L209" t="inlineStr">
        <is>
          <t>8999</t>
        </is>
      </c>
    </row>
    <row r="210">
      <c r="B210" t="n">
        <v>204</v>
      </c>
      <c r="C210" t="inlineStr">
        <is>
          <t>61072o</t>
        </is>
      </c>
      <c r="D210" t="inlineStr">
        <is>
          <t>61072</t>
        </is>
      </c>
      <c r="F210" t="inlineStr">
        <is>
          <t>M29114</t>
        </is>
      </c>
      <c r="H210" t="inlineStr">
        <is>
          <t>M2911400016</t>
        </is>
      </c>
      <c r="I210" t="inlineStr">
        <is>
          <t>COMPANY EXECUTIVE OFFICER</t>
        </is>
      </c>
      <c r="J210" t="inlineStr">
        <is>
          <t>CAPT</t>
        </is>
      </c>
      <c r="K210" t="inlineStr">
        <is>
          <t>1302</t>
        </is>
      </c>
      <c r="L210" t="inlineStr">
        <is>
          <t>1302</t>
        </is>
      </c>
    </row>
    <row r="211">
      <c r="B211" t="n">
        <v>205</v>
      </c>
      <c r="C211" t="inlineStr">
        <is>
          <t>61072o</t>
        </is>
      </c>
      <c r="D211" t="inlineStr">
        <is>
          <t>61072</t>
        </is>
      </c>
      <c r="F211" t="inlineStr">
        <is>
          <t>M29114</t>
        </is>
      </c>
      <c r="H211" t="inlineStr">
        <is>
          <t>M2911400017</t>
        </is>
      </c>
      <c r="I211" t="inlineStr">
        <is>
          <t>OPERATIONS CHIEF</t>
        </is>
      </c>
      <c r="J211" t="inlineStr">
        <is>
          <t>GYSGT</t>
        </is>
      </c>
      <c r="K211" t="inlineStr">
        <is>
          <t>2111</t>
        </is>
      </c>
      <c r="L211" t="inlineStr">
        <is>
          <t>2111</t>
        </is>
      </c>
    </row>
    <row r="212">
      <c r="B212" t="n">
        <v>206</v>
      </c>
      <c r="C212" t="inlineStr">
        <is>
          <t>44112w</t>
        </is>
      </c>
      <c r="D212" t="inlineStr">
        <is>
          <t>44112</t>
        </is>
      </c>
      <c r="F212" t="inlineStr">
        <is>
          <t>M29114</t>
        </is>
      </c>
      <c r="H212" t="inlineStr">
        <is>
          <t>M2911400018</t>
        </is>
      </c>
      <c r="I212" t="inlineStr">
        <is>
          <t>COMPANY CLERK</t>
        </is>
      </c>
      <c r="J212" t="inlineStr">
        <is>
          <t>SGT</t>
        </is>
      </c>
      <c r="K212" t="inlineStr">
        <is>
          <t>0441</t>
        </is>
      </c>
      <c r="L212" t="inlineStr">
        <is>
          <t>0441</t>
        </is>
      </c>
    </row>
    <row r="213">
      <c r="B213" t="n">
        <v>207</v>
      </c>
      <c r="C213" t="inlineStr">
        <is>
          <t>44112w</t>
        </is>
      </c>
      <c r="D213" t="inlineStr">
        <is>
          <t>44112</t>
        </is>
      </c>
      <c r="F213" t="inlineStr">
        <is>
          <t>M29114</t>
        </is>
      </c>
      <c r="H213" t="inlineStr">
        <is>
          <t>M2911400019</t>
        </is>
      </c>
      <c r="I213" t="inlineStr">
        <is>
          <t>COMPANY CLERK</t>
        </is>
      </c>
      <c r="J213" t="inlineStr">
        <is>
          <t>LCPL</t>
        </is>
      </c>
      <c r="K213" t="inlineStr">
        <is>
          <t>0441</t>
        </is>
      </c>
      <c r="L213" t="inlineStr">
        <is>
          <t>0441</t>
        </is>
      </c>
    </row>
    <row r="214">
      <c r="B214" t="n">
        <v>208</v>
      </c>
      <c r="C214" t="inlineStr">
        <is>
          <t>14345</t>
        </is>
      </c>
      <c r="D214" t="inlineStr">
        <is>
          <t>14345</t>
        </is>
      </c>
      <c r="F214" t="inlineStr">
        <is>
          <t>M29114</t>
        </is>
      </c>
      <c r="H214" t="inlineStr">
        <is>
          <t>M2911400025</t>
        </is>
      </c>
      <c r="I214" t="inlineStr">
        <is>
          <t>PLATOON COMMANDER</t>
        </is>
      </c>
      <c r="J214" t="inlineStr">
        <is>
          <t>CWO2</t>
        </is>
      </c>
      <c r="K214" t="inlineStr">
        <is>
          <t>2110</t>
        </is>
      </c>
      <c r="L214" t="inlineStr">
        <is>
          <t>2110</t>
        </is>
      </c>
    </row>
    <row r="215">
      <c r="B215" t="n">
        <v>209</v>
      </c>
      <c r="C215" t="inlineStr">
        <is>
          <t>21710ds</t>
        </is>
      </c>
      <c r="D215" t="inlineStr">
        <is>
          <t>21710</t>
        </is>
      </c>
      <c r="F215" t="inlineStr">
        <is>
          <t>M29114</t>
        </is>
      </c>
      <c r="H215" t="inlineStr">
        <is>
          <t>M2911400029</t>
        </is>
      </c>
      <c r="I215" t="inlineStr">
        <is>
          <t>PLATOON SERGEANT</t>
        </is>
      </c>
      <c r="J215" t="inlineStr">
        <is>
          <t>MSGT</t>
        </is>
      </c>
      <c r="K215" t="inlineStr">
        <is>
          <t>2891</t>
        </is>
      </c>
      <c r="L215" t="inlineStr">
        <is>
          <t>2891</t>
        </is>
      </c>
    </row>
    <row r="216">
      <c r="B216" t="n">
        <v>210</v>
      </c>
      <c r="C216" t="inlineStr">
        <is>
          <t>14345</t>
        </is>
      </c>
      <c r="D216" t="inlineStr">
        <is>
          <t>14345</t>
        </is>
      </c>
      <c r="F216" t="inlineStr">
        <is>
          <t>M29114</t>
        </is>
      </c>
      <c r="H216" t="inlineStr">
        <is>
          <t>M2911400030</t>
        </is>
      </c>
      <c r="I216" t="inlineStr">
        <is>
          <t>MAINTENANCE SNCOIC</t>
        </is>
      </c>
      <c r="J216" t="inlineStr">
        <is>
          <t>GYSGT</t>
        </is>
      </c>
      <c r="K216" t="inlineStr">
        <is>
          <t>2161</t>
        </is>
      </c>
      <c r="L216" t="inlineStr">
        <is>
          <t>2161</t>
        </is>
      </c>
    </row>
    <row r="217">
      <c r="B217" t="n">
        <v>211</v>
      </c>
      <c r="C217" t="inlineStr">
        <is>
          <t>14345</t>
        </is>
      </c>
      <c r="D217" t="inlineStr">
        <is>
          <t>14345</t>
        </is>
      </c>
      <c r="F217" t="inlineStr">
        <is>
          <t>M29114</t>
        </is>
      </c>
      <c r="H217" t="inlineStr">
        <is>
          <t>M2911400032</t>
        </is>
      </c>
      <c r="I217" t="inlineStr">
        <is>
          <t>MAINTENANCE TECHNICIAN</t>
        </is>
      </c>
      <c r="J217" t="inlineStr">
        <is>
          <t>SGT</t>
        </is>
      </c>
      <c r="K217" t="inlineStr">
        <is>
          <t>2161</t>
        </is>
      </c>
      <c r="L217" t="inlineStr">
        <is>
          <t>2161</t>
        </is>
      </c>
    </row>
    <row r="218">
      <c r="B218" t="n">
        <v>212</v>
      </c>
      <c r="C218" t="inlineStr">
        <is>
          <t>21730</t>
        </is>
      </c>
      <c r="D218" t="inlineStr">
        <is>
          <t>21730</t>
        </is>
      </c>
      <c r="F218" t="inlineStr">
        <is>
          <t>M29114</t>
        </is>
      </c>
      <c r="H218" t="inlineStr">
        <is>
          <t>M2911400033</t>
        </is>
      </c>
      <c r="I218" t="inlineStr">
        <is>
          <t>MAINTENANCE TECHNICIAN</t>
        </is>
      </c>
      <c r="J218" t="inlineStr">
        <is>
          <t>SGT</t>
        </is>
      </c>
      <c r="K218" t="inlineStr">
        <is>
          <t>1316</t>
        </is>
      </c>
      <c r="L218" t="inlineStr">
        <is>
          <t>1316</t>
        </is>
      </c>
    </row>
    <row r="219">
      <c r="B219" t="n">
        <v>213</v>
      </c>
      <c r="C219" t="inlineStr">
        <is>
          <t>14345</t>
        </is>
      </c>
      <c r="D219" t="inlineStr">
        <is>
          <t>14345</t>
        </is>
      </c>
      <c r="F219" t="inlineStr">
        <is>
          <t>M29114</t>
        </is>
      </c>
      <c r="H219" t="inlineStr">
        <is>
          <t>M2911400031</t>
        </is>
      </c>
      <c r="I219" t="inlineStr">
        <is>
          <t>MAINTENANCE TECHNICIAN</t>
        </is>
      </c>
      <c r="J219" t="inlineStr">
        <is>
          <t>CPL</t>
        </is>
      </c>
      <c r="K219" t="inlineStr">
        <is>
          <t>2161</t>
        </is>
      </c>
      <c r="L219" t="inlineStr">
        <is>
          <t>2161</t>
        </is>
      </c>
    </row>
    <row r="220">
      <c r="B220" t="n">
        <v>214</v>
      </c>
      <c r="C220" t="inlineStr">
        <is>
          <t>21730</t>
        </is>
      </c>
      <c r="D220" t="inlineStr">
        <is>
          <t>21730</t>
        </is>
      </c>
      <c r="F220" t="inlineStr">
        <is>
          <t>M29114</t>
        </is>
      </c>
      <c r="H220" t="inlineStr">
        <is>
          <t>M2911400034</t>
        </is>
      </c>
      <c r="I220" t="inlineStr">
        <is>
          <t>MAINTENANCE TECHNICIAN</t>
        </is>
      </c>
      <c r="J220" t="inlineStr">
        <is>
          <t>CPL</t>
        </is>
      </c>
      <c r="K220" t="inlineStr">
        <is>
          <t>1316</t>
        </is>
      </c>
      <c r="L220" t="inlineStr">
        <is>
          <t>1316</t>
        </is>
      </c>
    </row>
    <row r="221">
      <c r="B221" t="n">
        <v>215</v>
      </c>
      <c r="C221" t="inlineStr">
        <is>
          <t>21710ds</t>
        </is>
      </c>
      <c r="D221" t="inlineStr">
        <is>
          <t>21710</t>
        </is>
      </c>
      <c r="F221" t="inlineStr">
        <is>
          <t>M29114</t>
        </is>
      </c>
      <c r="H221" t="inlineStr">
        <is>
          <t>M2911400035</t>
        </is>
      </c>
      <c r="I221" t="inlineStr">
        <is>
          <t>GROUND COMMUNICATION/ELECTRICAL EQUIPMENT CHIEF</t>
        </is>
      </c>
      <c r="J221" t="inlineStr">
        <is>
          <t>GYSGT</t>
        </is>
      </c>
      <c r="K221" t="inlineStr">
        <is>
          <t>2862</t>
        </is>
      </c>
      <c r="L221" t="inlineStr">
        <is>
          <t>2862</t>
        </is>
      </c>
    </row>
    <row r="222">
      <c r="B222" t="n">
        <v>216</v>
      </c>
      <c r="C222" t="inlineStr">
        <is>
          <t>21710ds</t>
        </is>
      </c>
      <c r="D222" t="inlineStr">
        <is>
          <t>21710</t>
        </is>
      </c>
      <c r="F222" t="inlineStr">
        <is>
          <t>M29114</t>
        </is>
      </c>
      <c r="H222" t="inlineStr">
        <is>
          <t>M2911400036</t>
        </is>
      </c>
      <c r="I222" t="inlineStr">
        <is>
          <t>GROUND ELECTRONICS SYSTEMS REPAIRER</t>
        </is>
      </c>
      <c r="J222" t="inlineStr">
        <is>
          <t>SGT</t>
        </is>
      </c>
      <c r="K222" t="inlineStr">
        <is>
          <t>2847</t>
        </is>
      </c>
      <c r="L222" t="inlineStr">
        <is>
          <t>2847</t>
        </is>
      </c>
    </row>
    <row r="223">
      <c r="B223" t="n">
        <v>217</v>
      </c>
      <c r="C223" t="inlineStr">
        <is>
          <t>21710ds</t>
        </is>
      </c>
      <c r="D223" t="inlineStr">
        <is>
          <t>21710</t>
        </is>
      </c>
      <c r="F223" t="inlineStr">
        <is>
          <t>M29114</t>
        </is>
      </c>
      <c r="H223" t="inlineStr">
        <is>
          <t>M2911400037</t>
        </is>
      </c>
      <c r="I223" t="inlineStr">
        <is>
          <t>GROUND ELECTRONICS SYSTEMS REPAIRER</t>
        </is>
      </c>
      <c r="J223" t="inlineStr">
        <is>
          <t>CPL</t>
        </is>
      </c>
      <c r="K223" t="inlineStr">
        <is>
          <t>2847</t>
        </is>
      </c>
      <c r="L223" t="inlineStr">
        <is>
          <t>2847</t>
        </is>
      </c>
    </row>
    <row r="224">
      <c r="B224" t="n">
        <v>218</v>
      </c>
      <c r="C224" t="inlineStr">
        <is>
          <t>21710ds</t>
        </is>
      </c>
      <c r="D224" t="inlineStr">
        <is>
          <t>21710</t>
        </is>
      </c>
      <c r="F224" t="inlineStr">
        <is>
          <t>M29114</t>
        </is>
      </c>
      <c r="H224" t="inlineStr">
        <is>
          <t>M2911400038</t>
        </is>
      </c>
      <c r="I224" t="inlineStr">
        <is>
          <t>GROUND ELECTRONICS SYSTEMS REPAIRER</t>
        </is>
      </c>
      <c r="J224" t="inlineStr">
        <is>
          <t>CPL</t>
        </is>
      </c>
      <c r="K224" t="inlineStr">
        <is>
          <t>2847</t>
        </is>
      </c>
      <c r="L224" t="inlineStr">
        <is>
          <t>2847</t>
        </is>
      </c>
    </row>
    <row r="225">
      <c r="B225" t="n">
        <v>219</v>
      </c>
      <c r="C225" t="inlineStr">
        <is>
          <t>21710ds</t>
        </is>
      </c>
      <c r="D225" t="inlineStr">
        <is>
          <t>21710</t>
        </is>
      </c>
      <c r="F225" t="inlineStr">
        <is>
          <t>M29114</t>
        </is>
      </c>
      <c r="H225" t="inlineStr">
        <is>
          <t>M2911400040</t>
        </is>
      </c>
      <c r="I225" t="inlineStr">
        <is>
          <t>GROUND ELECTRONICS SYSTEMS REPAIRER</t>
        </is>
      </c>
      <c r="J225" t="inlineStr">
        <is>
          <t>SGT</t>
        </is>
      </c>
      <c r="K225" t="inlineStr">
        <is>
          <t>2841</t>
        </is>
      </c>
      <c r="L225" t="inlineStr">
        <is>
          <t>2841</t>
        </is>
      </c>
    </row>
    <row r="226">
      <c r="B226" t="n">
        <v>220</v>
      </c>
      <c r="C226" t="inlineStr">
        <is>
          <t>21710ds</t>
        </is>
      </c>
      <c r="D226" t="inlineStr">
        <is>
          <t>21710</t>
        </is>
      </c>
      <c r="F226" t="inlineStr">
        <is>
          <t>M29114</t>
        </is>
      </c>
      <c r="H226" t="inlineStr">
        <is>
          <t>M2911400041</t>
        </is>
      </c>
      <c r="I226" t="inlineStr">
        <is>
          <t>GROUND ELECTRONICS SYSTEMS REPAIRER</t>
        </is>
      </c>
      <c r="J226" t="inlineStr">
        <is>
          <t>CPL</t>
        </is>
      </c>
      <c r="K226" t="inlineStr">
        <is>
          <t>2841</t>
        </is>
      </c>
      <c r="L226" t="inlineStr">
        <is>
          <t>2841</t>
        </is>
      </c>
    </row>
    <row r="227">
      <c r="B227" t="n">
        <v>221</v>
      </c>
      <c r="C227" t="inlineStr">
        <is>
          <t>21710ds</t>
        </is>
      </c>
      <c r="D227" t="inlineStr">
        <is>
          <t>21710</t>
        </is>
      </c>
      <c r="F227" t="inlineStr">
        <is>
          <t>M29114</t>
        </is>
      </c>
      <c r="H227" t="inlineStr">
        <is>
          <t>M2911400064</t>
        </is>
      </c>
      <c r="I227" t="inlineStr">
        <is>
          <t>GROUND ELECTRONICS SYSTEMS REPAIRER</t>
        </is>
      </c>
      <c r="J227" t="inlineStr">
        <is>
          <t>CPL</t>
        </is>
      </c>
      <c r="K227" t="inlineStr">
        <is>
          <t>2841</t>
        </is>
      </c>
      <c r="L227" t="inlineStr">
        <is>
          <t>2841</t>
        </is>
      </c>
    </row>
    <row r="228">
      <c r="B228" t="n">
        <v>222</v>
      </c>
      <c r="C228" t="inlineStr">
        <is>
          <t>21710ds</t>
        </is>
      </c>
      <c r="D228" t="inlineStr">
        <is>
          <t>21710</t>
        </is>
      </c>
      <c r="F228" t="inlineStr">
        <is>
          <t>M29114</t>
        </is>
      </c>
      <c r="H228" t="inlineStr">
        <is>
          <t>M2911400202</t>
        </is>
      </c>
      <c r="I228" t="inlineStr">
        <is>
          <t>DIGITAL WIDEBAND SYSTEMS MAINTAINER</t>
        </is>
      </c>
      <c r="J228" t="inlineStr">
        <is>
          <t>CPL</t>
        </is>
      </c>
      <c r="K228" t="inlineStr">
        <is>
          <t>2831</t>
        </is>
      </c>
      <c r="L228" t="inlineStr">
        <is>
          <t>2831</t>
        </is>
      </c>
    </row>
    <row r="229">
      <c r="B229" t="n">
        <v>223</v>
      </c>
      <c r="C229" t="inlineStr">
        <is>
          <t>21730</t>
        </is>
      </c>
      <c r="D229" t="inlineStr">
        <is>
          <t>21730</t>
        </is>
      </c>
      <c r="F229" t="inlineStr">
        <is>
          <t>M29114</t>
        </is>
      </c>
      <c r="H229" t="inlineStr">
        <is>
          <t>M2911400073</t>
        </is>
      </c>
      <c r="I229" t="inlineStr">
        <is>
          <t>ENGINEER EQUIPMENT CHIEF</t>
        </is>
      </c>
      <c r="J229" t="inlineStr">
        <is>
          <t>GYSGT</t>
        </is>
      </c>
      <c r="K229" t="inlineStr">
        <is>
          <t>1349</t>
        </is>
      </c>
      <c r="L229" t="inlineStr">
        <is>
          <t>1349</t>
        </is>
      </c>
    </row>
    <row r="230">
      <c r="B230" t="n">
        <v>224</v>
      </c>
      <c r="C230" t="inlineStr">
        <is>
          <t>21730</t>
        </is>
      </c>
      <c r="D230" t="inlineStr">
        <is>
          <t>21730</t>
        </is>
      </c>
      <c r="F230" t="inlineStr">
        <is>
          <t>M29114</t>
        </is>
      </c>
      <c r="H230" t="inlineStr">
        <is>
          <t>M2911400068</t>
        </is>
      </c>
      <c r="I230" t="inlineStr">
        <is>
          <t>ENGINEER EQUIPMENT MECHANIC</t>
        </is>
      </c>
      <c r="J230" t="inlineStr">
        <is>
          <t>SGT</t>
        </is>
      </c>
      <c r="K230" t="inlineStr">
        <is>
          <t>1341</t>
        </is>
      </c>
      <c r="L230" t="inlineStr">
        <is>
          <t>1341</t>
        </is>
      </c>
    </row>
    <row r="231">
      <c r="B231" t="n">
        <v>225</v>
      </c>
      <c r="C231" t="inlineStr">
        <is>
          <t>21730</t>
        </is>
      </c>
      <c r="D231" t="inlineStr">
        <is>
          <t>21730</t>
        </is>
      </c>
      <c r="F231" t="inlineStr">
        <is>
          <t>M29114</t>
        </is>
      </c>
      <c r="H231" t="inlineStr">
        <is>
          <t>M2911400069</t>
        </is>
      </c>
      <c r="I231" t="inlineStr">
        <is>
          <t>ENGINEER EQUIPMENT MECHANIC</t>
        </is>
      </c>
      <c r="J231" t="inlineStr">
        <is>
          <t>CPL</t>
        </is>
      </c>
      <c r="K231" t="inlineStr">
        <is>
          <t>1341</t>
        </is>
      </c>
      <c r="L231" t="inlineStr">
        <is>
          <t>1341</t>
        </is>
      </c>
    </row>
    <row r="232">
      <c r="B232" t="n">
        <v>226</v>
      </c>
      <c r="C232" t="inlineStr">
        <is>
          <t>21730</t>
        </is>
      </c>
      <c r="D232" t="inlineStr">
        <is>
          <t>21730</t>
        </is>
      </c>
      <c r="F232" t="inlineStr">
        <is>
          <t>M29114</t>
        </is>
      </c>
      <c r="H232" t="inlineStr">
        <is>
          <t>M2911400070</t>
        </is>
      </c>
      <c r="I232" t="inlineStr">
        <is>
          <t>ENGINEER EQUIPMENT MECHANIC</t>
        </is>
      </c>
      <c r="J232" t="inlineStr">
        <is>
          <t>CPL</t>
        </is>
      </c>
      <c r="K232" t="inlineStr">
        <is>
          <t>1341</t>
        </is>
      </c>
      <c r="L232" t="inlineStr">
        <is>
          <t>1341</t>
        </is>
      </c>
    </row>
    <row r="233">
      <c r="B233" t="n">
        <v>227</v>
      </c>
      <c r="C233" t="inlineStr">
        <is>
          <t>21730</t>
        </is>
      </c>
      <c r="D233" t="inlineStr">
        <is>
          <t>21730</t>
        </is>
      </c>
      <c r="F233" t="inlineStr">
        <is>
          <t>M29114</t>
        </is>
      </c>
      <c r="H233" t="inlineStr">
        <is>
          <t>M2911400074</t>
        </is>
      </c>
      <c r="I233" t="inlineStr">
        <is>
          <t>ENGINEER EQUIPMENT MECHANIC</t>
        </is>
      </c>
      <c r="J233" t="inlineStr">
        <is>
          <t>SGT</t>
        </is>
      </c>
      <c r="K233" t="inlineStr">
        <is>
          <t>1341</t>
        </is>
      </c>
      <c r="L233" t="inlineStr">
        <is>
          <t>1341</t>
        </is>
      </c>
    </row>
    <row r="234">
      <c r="B234" t="n">
        <v>228</v>
      </c>
      <c r="C234" t="inlineStr">
        <is>
          <t>21730</t>
        </is>
      </c>
      <c r="D234" t="inlineStr">
        <is>
          <t>21730</t>
        </is>
      </c>
      <c r="F234" t="inlineStr">
        <is>
          <t>M29114</t>
        </is>
      </c>
      <c r="H234" t="inlineStr">
        <is>
          <t>M2911400067</t>
        </is>
      </c>
      <c r="I234" t="inlineStr">
        <is>
          <t>ENGINEER EQUIPMENT CHIEF</t>
        </is>
      </c>
      <c r="J234" t="inlineStr">
        <is>
          <t>GYSGT</t>
        </is>
      </c>
      <c r="K234" t="inlineStr">
        <is>
          <t>1349</t>
        </is>
      </c>
      <c r="L234" t="inlineStr">
        <is>
          <t>1349</t>
        </is>
      </c>
    </row>
    <row r="235">
      <c r="B235" t="n">
        <v>229</v>
      </c>
      <c r="C235" t="inlineStr">
        <is>
          <t>21730</t>
        </is>
      </c>
      <c r="D235" t="inlineStr">
        <is>
          <t>21730</t>
        </is>
      </c>
      <c r="F235" t="inlineStr">
        <is>
          <t>M29114</t>
        </is>
      </c>
      <c r="H235" t="inlineStr">
        <is>
          <t>M2911400071</t>
        </is>
      </c>
      <c r="I235" t="inlineStr">
        <is>
          <t>WATERCRAFT REPAIR TECHNICIAN</t>
        </is>
      </c>
      <c r="J235" t="inlineStr">
        <is>
          <t>SGT</t>
        </is>
      </c>
      <c r="K235" t="inlineStr">
        <is>
          <t>1342</t>
        </is>
      </c>
      <c r="L235" t="inlineStr">
        <is>
          <t>1341</t>
        </is>
      </c>
    </row>
    <row r="236">
      <c r="B236" t="n">
        <v>230</v>
      </c>
      <c r="C236" t="inlineStr">
        <is>
          <t>21730</t>
        </is>
      </c>
      <c r="D236" t="inlineStr">
        <is>
          <t>21730</t>
        </is>
      </c>
      <c r="F236" t="inlineStr">
        <is>
          <t>M29114</t>
        </is>
      </c>
      <c r="H236" t="inlineStr">
        <is>
          <t>M2911400076</t>
        </is>
      </c>
      <c r="I236" t="inlineStr">
        <is>
          <t>WATERCRAFT REPAIR TECHNICIAN</t>
        </is>
      </c>
      <c r="J236" t="inlineStr">
        <is>
          <t>SGT</t>
        </is>
      </c>
      <c r="K236" t="inlineStr">
        <is>
          <t>1342</t>
        </is>
      </c>
      <c r="L236" t="inlineStr">
        <is>
          <t>1341</t>
        </is>
      </c>
    </row>
    <row r="237">
      <c r="B237" t="n">
        <v>231</v>
      </c>
      <c r="C237" t="inlineStr">
        <is>
          <t>21730</t>
        </is>
      </c>
      <c r="D237" t="inlineStr">
        <is>
          <t>21730</t>
        </is>
      </c>
      <c r="F237" t="inlineStr">
        <is>
          <t>M29114</t>
        </is>
      </c>
      <c r="H237" t="inlineStr">
        <is>
          <t>M2911400072</t>
        </is>
      </c>
      <c r="I237" t="inlineStr">
        <is>
          <t>WATERCRAFT REPAIR TECHNICIAN</t>
        </is>
      </c>
      <c r="J237" t="inlineStr">
        <is>
          <t>CPL</t>
        </is>
      </c>
      <c r="K237" t="inlineStr">
        <is>
          <t>1342</t>
        </is>
      </c>
      <c r="L237" t="inlineStr">
        <is>
          <t>1341</t>
        </is>
      </c>
    </row>
    <row r="238">
      <c r="B238" t="n">
        <v>232</v>
      </c>
      <c r="C238" t="inlineStr">
        <is>
          <t>21730</t>
        </is>
      </c>
      <c r="D238" t="inlineStr">
        <is>
          <t>21730</t>
        </is>
      </c>
      <c r="F238" t="inlineStr">
        <is>
          <t>M29114</t>
        </is>
      </c>
      <c r="H238" t="inlineStr">
        <is>
          <t>M2911400077</t>
        </is>
      </c>
      <c r="I238" t="inlineStr">
        <is>
          <t>WATERCRAFT REPAIR TECHNICIAN</t>
        </is>
      </c>
      <c r="J238" t="inlineStr">
        <is>
          <t>CPL</t>
        </is>
      </c>
      <c r="K238" t="inlineStr">
        <is>
          <t>1342</t>
        </is>
      </c>
      <c r="L238" t="inlineStr">
        <is>
          <t>1341</t>
        </is>
      </c>
    </row>
    <row r="239">
      <c r="B239" t="n">
        <v>233</v>
      </c>
      <c r="C239" t="inlineStr">
        <is>
          <t>21451</t>
        </is>
      </c>
      <c r="D239" t="inlineStr">
        <is>
          <t>21451</t>
        </is>
      </c>
      <c r="F239" t="inlineStr">
        <is>
          <t>M29114</t>
        </is>
      </c>
      <c r="H239" t="inlineStr">
        <is>
          <t>M2911400042</t>
        </is>
      </c>
      <c r="I239" t="inlineStr">
        <is>
          <t>AUTOMOTIVE MECHANIC CHIEF</t>
        </is>
      </c>
      <c r="J239" t="inlineStr">
        <is>
          <t>GYSGT</t>
        </is>
      </c>
      <c r="K239" t="inlineStr">
        <is>
          <t>3529</t>
        </is>
      </c>
      <c r="L239" t="inlineStr">
        <is>
          <t>3529</t>
        </is>
      </c>
    </row>
    <row r="240">
      <c r="B240" t="n">
        <v>234</v>
      </c>
      <c r="C240" t="inlineStr">
        <is>
          <t>21451</t>
        </is>
      </c>
      <c r="D240" t="inlineStr">
        <is>
          <t>21451</t>
        </is>
      </c>
      <c r="F240" t="inlineStr">
        <is>
          <t>M29114</t>
        </is>
      </c>
      <c r="H240" t="inlineStr">
        <is>
          <t>M2911400043</t>
        </is>
      </c>
      <c r="I240" t="inlineStr">
        <is>
          <t>AUTOMOTIVE MAINTENANCE TECHNICIAN</t>
        </is>
      </c>
      <c r="J240" t="inlineStr">
        <is>
          <t>SGT</t>
        </is>
      </c>
      <c r="K240" t="inlineStr">
        <is>
          <t>3521</t>
        </is>
      </c>
      <c r="L240" t="inlineStr">
        <is>
          <t>3521</t>
        </is>
      </c>
    </row>
    <row r="241">
      <c r="B241" t="n">
        <v>235</v>
      </c>
      <c r="C241" t="inlineStr">
        <is>
          <t>21451</t>
        </is>
      </c>
      <c r="D241" t="inlineStr">
        <is>
          <t>21451</t>
        </is>
      </c>
      <c r="F241" t="inlineStr">
        <is>
          <t>M29114</t>
        </is>
      </c>
      <c r="H241" t="inlineStr">
        <is>
          <t>M2911400079</t>
        </is>
      </c>
      <c r="I241" t="inlineStr">
        <is>
          <t>AUTOMOTIVE MAINTENANCE TECHNICIAN</t>
        </is>
      </c>
      <c r="J241" t="inlineStr">
        <is>
          <t>SGT</t>
        </is>
      </c>
      <c r="K241" t="inlineStr">
        <is>
          <t>3521</t>
        </is>
      </c>
      <c r="L241" t="inlineStr">
        <is>
          <t>3521</t>
        </is>
      </c>
    </row>
    <row r="242">
      <c r="B242" t="n">
        <v>236</v>
      </c>
      <c r="C242" t="inlineStr">
        <is>
          <t>21451</t>
        </is>
      </c>
      <c r="D242" t="inlineStr">
        <is>
          <t>21451</t>
        </is>
      </c>
      <c r="F242" t="inlineStr">
        <is>
          <t>M29114</t>
        </is>
      </c>
      <c r="H242" t="inlineStr">
        <is>
          <t>M2911400080</t>
        </is>
      </c>
      <c r="I242" t="inlineStr">
        <is>
          <t>AUTOMOTIVE MAINTENANCE TECHNICIAN</t>
        </is>
      </c>
      <c r="J242" t="inlineStr">
        <is>
          <t>CPL</t>
        </is>
      </c>
      <c r="K242" t="inlineStr">
        <is>
          <t>3521</t>
        </is>
      </c>
      <c r="L242" t="inlineStr">
        <is>
          <t>3521</t>
        </is>
      </c>
    </row>
    <row r="243">
      <c r="B243" t="n">
        <v>237</v>
      </c>
      <c r="C243" t="inlineStr">
        <is>
          <t>21451</t>
        </is>
      </c>
      <c r="D243" t="inlineStr">
        <is>
          <t>21451</t>
        </is>
      </c>
      <c r="F243" t="inlineStr">
        <is>
          <t>M29114</t>
        </is>
      </c>
      <c r="H243" t="inlineStr">
        <is>
          <t>M2911400081</t>
        </is>
      </c>
      <c r="I243" t="inlineStr">
        <is>
          <t>AUTOMOTIVE MAINTENANCE TECHNICIAN</t>
        </is>
      </c>
      <c r="J243" t="inlineStr">
        <is>
          <t>CPL</t>
        </is>
      </c>
      <c r="K243" t="inlineStr">
        <is>
          <t>3521</t>
        </is>
      </c>
      <c r="L243" t="inlineStr">
        <is>
          <t>3521</t>
        </is>
      </c>
    </row>
    <row r="244">
      <c r="B244" t="n">
        <v>238</v>
      </c>
      <c r="C244" t="inlineStr">
        <is>
          <t>21451</t>
        </is>
      </c>
      <c r="D244" t="inlineStr">
        <is>
          <t>21451</t>
        </is>
      </c>
      <c r="F244" t="inlineStr">
        <is>
          <t>M29114</t>
        </is>
      </c>
      <c r="H244" t="inlineStr">
        <is>
          <t>M2911400200</t>
        </is>
      </c>
      <c r="I244" t="inlineStr">
        <is>
          <t>AUTOMOTIVE MAINTENANCE TECHNICIAN</t>
        </is>
      </c>
      <c r="J244" t="inlineStr">
        <is>
          <t>LCPL</t>
        </is>
      </c>
      <c r="K244" t="inlineStr">
        <is>
          <t>3521</t>
        </is>
      </c>
      <c r="L244" t="inlineStr">
        <is>
          <t>3521</t>
        </is>
      </c>
    </row>
    <row r="245">
      <c r="B245" t="n">
        <v>239</v>
      </c>
      <c r="C245" t="inlineStr">
        <is>
          <t>21451</t>
        </is>
      </c>
      <c r="D245" t="inlineStr">
        <is>
          <t>21451</t>
        </is>
      </c>
      <c r="F245" t="inlineStr">
        <is>
          <t>M29114</t>
        </is>
      </c>
      <c r="H245" t="inlineStr">
        <is>
          <t>M2911400201</t>
        </is>
      </c>
      <c r="I245" t="inlineStr">
        <is>
          <t>AUTOMOTIVE MAINTENANCE TECHNICIAN</t>
        </is>
      </c>
      <c r="J245" t="inlineStr">
        <is>
          <t>LCPL</t>
        </is>
      </c>
      <c r="K245" t="inlineStr">
        <is>
          <t>3521</t>
        </is>
      </c>
      <c r="L245" t="inlineStr">
        <is>
          <t>3521</t>
        </is>
      </c>
    </row>
    <row r="246">
      <c r="B246" t="n">
        <v>240</v>
      </c>
      <c r="C246" t="inlineStr">
        <is>
          <t>14345</t>
        </is>
      </c>
      <c r="D246" t="inlineStr">
        <is>
          <t>14345</t>
        </is>
      </c>
      <c r="F246" t="inlineStr">
        <is>
          <t>M29114</t>
        </is>
      </c>
      <c r="H246" t="inlineStr">
        <is>
          <t>M2911400083</t>
        </is>
      </c>
      <c r="I246" t="inlineStr">
        <is>
          <t>ORDNANCE MAINTENANCE CHIEF</t>
        </is>
      </c>
      <c r="J246" t="inlineStr">
        <is>
          <t>MSGT</t>
        </is>
      </c>
      <c r="K246" t="inlineStr">
        <is>
          <t>2181</t>
        </is>
      </c>
      <c r="L246" t="inlineStr">
        <is>
          <t>2181</t>
        </is>
      </c>
    </row>
    <row r="247">
      <c r="B247" t="n">
        <v>241</v>
      </c>
      <c r="C247" t="inlineStr">
        <is>
          <t>14345</t>
        </is>
      </c>
      <c r="D247" t="inlineStr">
        <is>
          <t>14345</t>
        </is>
      </c>
      <c r="F247" t="inlineStr">
        <is>
          <t>M29114</t>
        </is>
      </c>
      <c r="H247" t="inlineStr">
        <is>
          <t>M2911400044</t>
        </is>
      </c>
      <c r="I247" t="inlineStr">
        <is>
          <t>SMALL ARMS REPAIRER</t>
        </is>
      </c>
      <c r="J247" t="inlineStr">
        <is>
          <t>SGT</t>
        </is>
      </c>
      <c r="K247" t="inlineStr">
        <is>
          <t>2111</t>
        </is>
      </c>
      <c r="L247" t="inlineStr">
        <is>
          <t>2111</t>
        </is>
      </c>
    </row>
    <row r="248">
      <c r="B248" t="n">
        <v>242</v>
      </c>
      <c r="C248" t="inlineStr">
        <is>
          <t>14345</t>
        </is>
      </c>
      <c r="D248" t="inlineStr">
        <is>
          <t>14345</t>
        </is>
      </c>
      <c r="F248" t="inlineStr">
        <is>
          <t>M29114</t>
        </is>
      </c>
      <c r="H248" t="inlineStr">
        <is>
          <t>M2911400084</t>
        </is>
      </c>
      <c r="I248" t="inlineStr">
        <is>
          <t>SMALL ARMS REPAIRER</t>
        </is>
      </c>
      <c r="J248" t="inlineStr">
        <is>
          <t>CPL</t>
        </is>
      </c>
      <c r="K248" t="inlineStr">
        <is>
          <t>2111</t>
        </is>
      </c>
      <c r="L248" t="inlineStr">
        <is>
          <t>2111</t>
        </is>
      </c>
    </row>
    <row r="249">
      <c r="B249" t="n">
        <v>243</v>
      </c>
      <c r="C249" t="inlineStr">
        <is>
          <t>14345</t>
        </is>
      </c>
      <c r="D249" t="inlineStr">
        <is>
          <t>14345</t>
        </is>
      </c>
      <c r="F249" t="inlineStr">
        <is>
          <t>M29114</t>
        </is>
      </c>
      <c r="H249" t="inlineStr">
        <is>
          <t>M2911400085</t>
        </is>
      </c>
      <c r="I249" t="inlineStr">
        <is>
          <t>ELECTRO-OPTICAL ORDNANCE REPAIRER</t>
        </is>
      </c>
      <c r="J249" t="inlineStr">
        <is>
          <t>SGT</t>
        </is>
      </c>
      <c r="K249" t="inlineStr">
        <is>
          <t>2171</t>
        </is>
      </c>
      <c r="L249" t="inlineStr">
        <is>
          <t>2171</t>
        </is>
      </c>
    </row>
    <row r="250">
      <c r="B250" t="n">
        <v>244</v>
      </c>
      <c r="C250" t="inlineStr">
        <is>
          <t>14345</t>
        </is>
      </c>
      <c r="D250" t="inlineStr">
        <is>
          <t>14345</t>
        </is>
      </c>
      <c r="F250" t="inlineStr">
        <is>
          <t>M29114</t>
        </is>
      </c>
      <c r="H250" t="inlineStr">
        <is>
          <t>M2911400086</t>
        </is>
      </c>
      <c r="I250" t="inlineStr">
        <is>
          <t>ELECTRO-OPTICAL ORDNANCE REPAIRER</t>
        </is>
      </c>
      <c r="J250" t="inlineStr">
        <is>
          <t>CPL</t>
        </is>
      </c>
      <c r="K250" t="inlineStr">
        <is>
          <t>2171</t>
        </is>
      </c>
      <c r="L250" t="inlineStr">
        <is>
          <t>2171</t>
        </is>
      </c>
    </row>
    <row r="251">
      <c r="B251" t="n">
        <v>245</v>
      </c>
      <c r="C251" t="inlineStr">
        <is>
          <t>14345</t>
        </is>
      </c>
      <c r="D251" t="inlineStr">
        <is>
          <t>14345</t>
        </is>
      </c>
      <c r="F251" t="inlineStr">
        <is>
          <t>M29114</t>
        </is>
      </c>
      <c r="H251" t="inlineStr">
        <is>
          <t>M2911400087</t>
        </is>
      </c>
      <c r="I251" t="inlineStr">
        <is>
          <t>ARTILLERY REPAIRER</t>
        </is>
      </c>
      <c r="J251" t="inlineStr">
        <is>
          <t>SGT</t>
        </is>
      </c>
      <c r="K251" t="inlineStr">
        <is>
          <t>2131</t>
        </is>
      </c>
      <c r="L251" t="inlineStr">
        <is>
          <t>2131</t>
        </is>
      </c>
    </row>
    <row r="252">
      <c r="B252" t="n">
        <v>246</v>
      </c>
      <c r="C252" t="inlineStr">
        <is>
          <t>14345</t>
        </is>
      </c>
      <c r="D252" t="inlineStr">
        <is>
          <t>14345</t>
        </is>
      </c>
      <c r="F252" t="inlineStr">
        <is>
          <t>M29114</t>
        </is>
      </c>
      <c r="H252" t="inlineStr">
        <is>
          <t>M2911400088</t>
        </is>
      </c>
      <c r="I252" t="inlineStr">
        <is>
          <t>ARTILLERY REPAIRER</t>
        </is>
      </c>
      <c r="J252" t="inlineStr">
        <is>
          <t>CPL</t>
        </is>
      </c>
      <c r="K252" t="inlineStr">
        <is>
          <t>2131</t>
        </is>
      </c>
      <c r="L252" t="inlineStr">
        <is>
          <t>2131</t>
        </is>
      </c>
    </row>
    <row r="253">
      <c r="B253" t="n">
        <v>247</v>
      </c>
      <c r="C253" t="inlineStr">
        <is>
          <t>14345</t>
        </is>
      </c>
      <c r="D253" t="inlineStr">
        <is>
          <t>14345</t>
        </is>
      </c>
      <c r="F253" t="inlineStr">
        <is>
          <t>M29114</t>
        </is>
      </c>
      <c r="H253" t="inlineStr">
        <is>
          <t>M2911400089</t>
        </is>
      </c>
      <c r="I253" t="inlineStr">
        <is>
          <t>ARTILLERY REPAIRER</t>
        </is>
      </c>
      <c r="J253" t="inlineStr">
        <is>
          <t>CPL</t>
        </is>
      </c>
      <c r="K253" t="inlineStr">
        <is>
          <t>2131</t>
        </is>
      </c>
      <c r="L253" t="inlineStr">
        <is>
          <t>2131</t>
        </is>
      </c>
    </row>
    <row r="254">
      <c r="B254" t="n">
        <v>248</v>
      </c>
      <c r="C254" t="inlineStr">
        <is>
          <t>14345</t>
        </is>
      </c>
      <c r="D254" t="inlineStr">
        <is>
          <t>14345</t>
        </is>
      </c>
      <c r="F254" t="inlineStr">
        <is>
          <t>M29114</t>
        </is>
      </c>
      <c r="H254" t="inlineStr">
        <is>
          <t>M2911400090</t>
        </is>
      </c>
      <c r="I254" t="inlineStr">
        <is>
          <t>ARTILLERY REPAIRER</t>
        </is>
      </c>
      <c r="J254" t="inlineStr">
        <is>
          <t>LCPL</t>
        </is>
      </c>
      <c r="K254" t="inlineStr">
        <is>
          <t>2131</t>
        </is>
      </c>
      <c r="L254" t="inlineStr">
        <is>
          <t>2131</t>
        </is>
      </c>
    </row>
    <row r="255">
      <c r="B255" t="n">
        <v>249</v>
      </c>
      <c r="C255" t="inlineStr">
        <is>
          <t>14345</t>
        </is>
      </c>
      <c r="D255" t="inlineStr">
        <is>
          <t>14345</t>
        </is>
      </c>
      <c r="F255" t="inlineStr">
        <is>
          <t>M29114</t>
        </is>
      </c>
      <c r="H255" t="inlineStr">
        <is>
          <t>M2911400091</t>
        </is>
      </c>
      <c r="I255" t="inlineStr">
        <is>
          <t>ARTILLERY REPAIRER</t>
        </is>
      </c>
      <c r="J255" t="inlineStr">
        <is>
          <t>LCPL</t>
        </is>
      </c>
      <c r="K255" t="inlineStr">
        <is>
          <t>2131</t>
        </is>
      </c>
      <c r="L255" t="inlineStr">
        <is>
          <t>2131</t>
        </is>
      </c>
    </row>
    <row r="256">
      <c r="B256" t="n">
        <v>250</v>
      </c>
      <c r="C256" t="inlineStr">
        <is>
          <t>14345</t>
        </is>
      </c>
      <c r="D256" t="inlineStr">
        <is>
          <t>14345</t>
        </is>
      </c>
      <c r="F256" t="inlineStr">
        <is>
          <t>M29114</t>
        </is>
      </c>
      <c r="H256" t="inlineStr">
        <is>
          <t>M2911400092</t>
        </is>
      </c>
      <c r="I256" t="inlineStr">
        <is>
          <t>ARTILLERY REPAIRER</t>
        </is>
      </c>
      <c r="J256" t="inlineStr">
        <is>
          <t>LCPL</t>
        </is>
      </c>
      <c r="K256" t="inlineStr">
        <is>
          <t>2131</t>
        </is>
      </c>
      <c r="L256" t="inlineStr">
        <is>
          <t>2131</t>
        </is>
      </c>
    </row>
    <row r="257">
      <c r="B257" t="n">
        <v>251</v>
      </c>
      <c r="C257" t="inlineStr">
        <is>
          <t>14345</t>
        </is>
      </c>
      <c r="D257" t="inlineStr">
        <is>
          <t>14345</t>
        </is>
      </c>
      <c r="F257" t="inlineStr">
        <is>
          <t>M29114</t>
        </is>
      </c>
      <c r="H257" t="inlineStr">
        <is>
          <t>M2911400093</t>
        </is>
      </c>
      <c r="I257" t="inlineStr">
        <is>
          <t>ARTILLERY REPAIRER</t>
        </is>
      </c>
      <c r="J257" t="inlineStr">
        <is>
          <t>LCPL</t>
        </is>
      </c>
      <c r="K257" t="inlineStr">
        <is>
          <t>2131</t>
        </is>
      </c>
      <c r="L257" t="inlineStr">
        <is>
          <t>2131</t>
        </is>
      </c>
    </row>
    <row r="258">
      <c r="B258" t="n">
        <v>252</v>
      </c>
      <c r="C258" t="inlineStr">
        <is>
          <t>21710ds</t>
        </is>
      </c>
      <c r="D258" t="inlineStr">
        <is>
          <t>21710</t>
        </is>
      </c>
      <c r="F258" t="inlineStr">
        <is>
          <t>M29114</t>
        </is>
      </c>
      <c r="H258" t="inlineStr">
        <is>
          <t>M2911400095</t>
        </is>
      </c>
      <c r="I258" t="inlineStr">
        <is>
          <t>MAINTENANCE CHIEF</t>
        </is>
      </c>
      <c r="J258" t="inlineStr">
        <is>
          <t>SSGT</t>
        </is>
      </c>
      <c r="K258" t="inlineStr">
        <is>
          <t>2862</t>
        </is>
      </c>
      <c r="L258" t="inlineStr">
        <is>
          <t>2862</t>
        </is>
      </c>
    </row>
    <row r="259">
      <c r="B259" t="n">
        <v>253</v>
      </c>
      <c r="C259" t="inlineStr">
        <is>
          <t>21710ds</t>
        </is>
      </c>
      <c r="D259" t="inlineStr">
        <is>
          <t>21710</t>
        </is>
      </c>
      <c r="F259" t="inlineStr">
        <is>
          <t>M29114</t>
        </is>
      </c>
      <c r="H259" t="inlineStr">
        <is>
          <t>M2911400096</t>
        </is>
      </c>
      <c r="I259" t="inlineStr">
        <is>
          <t>DIGITAL WIDEBAND SYSTEMS MAINTAINER</t>
        </is>
      </c>
      <c r="J259" t="inlineStr">
        <is>
          <t>SGT</t>
        </is>
      </c>
      <c r="K259" t="inlineStr">
        <is>
          <t>2831</t>
        </is>
      </c>
      <c r="L259" t="inlineStr">
        <is>
          <t>2831</t>
        </is>
      </c>
    </row>
    <row r="260">
      <c r="B260" t="n">
        <v>254</v>
      </c>
      <c r="C260" t="inlineStr">
        <is>
          <t>14345</t>
        </is>
      </c>
      <c r="D260" t="inlineStr">
        <is>
          <t>14345</t>
        </is>
      </c>
      <c r="F260" t="inlineStr">
        <is>
          <t>M29114</t>
        </is>
      </c>
      <c r="H260" t="inlineStr">
        <is>
          <t>M2911400098</t>
        </is>
      </c>
      <c r="I260" t="inlineStr">
        <is>
          <t>MAINTENANCE TECHNICIAN</t>
        </is>
      </c>
      <c r="J260" t="inlineStr">
        <is>
          <t>SGT</t>
        </is>
      </c>
      <c r="K260" t="inlineStr">
        <is>
          <t>2171</t>
        </is>
      </c>
      <c r="L260" t="inlineStr">
        <is>
          <t>2171</t>
        </is>
      </c>
    </row>
    <row r="261">
      <c r="B261" t="n">
        <v>255</v>
      </c>
      <c r="C261" t="inlineStr">
        <is>
          <t>14345</t>
        </is>
      </c>
      <c r="D261" t="inlineStr">
        <is>
          <t>14345</t>
        </is>
      </c>
      <c r="F261" t="inlineStr">
        <is>
          <t>M29114</t>
        </is>
      </c>
      <c r="H261" t="inlineStr">
        <is>
          <t>M2911400097</t>
        </is>
      </c>
      <c r="I261" t="inlineStr">
        <is>
          <t>MAINTENANCE TECHNICIAN</t>
        </is>
      </c>
      <c r="J261" t="inlineStr">
        <is>
          <t>CPL</t>
        </is>
      </c>
      <c r="K261" t="inlineStr">
        <is>
          <t>2171</t>
        </is>
      </c>
      <c r="L261" t="inlineStr">
        <is>
          <t>2171</t>
        </is>
      </c>
    </row>
    <row r="262">
      <c r="B262" t="n">
        <v>256</v>
      </c>
      <c r="C262" t="inlineStr">
        <is>
          <t>44112w</t>
        </is>
      </c>
      <c r="D262" t="inlineStr">
        <is>
          <t>44112</t>
        </is>
      </c>
      <c r="F262" t="inlineStr">
        <is>
          <t>M29114</t>
        </is>
      </c>
      <c r="H262" t="inlineStr">
        <is>
          <t>M2911400205</t>
        </is>
      </c>
      <c r="I262" t="inlineStr">
        <is>
          <t>CONTRACTING OFFICER</t>
        </is>
      </c>
      <c r="J262" t="inlineStr">
        <is>
          <t>CAPT</t>
        </is>
      </c>
      <c r="K262" t="inlineStr">
        <is>
          <t>3006</t>
        </is>
      </c>
      <c r="L262" t="inlineStr">
        <is>
          <t>3002</t>
        </is>
      </c>
    </row>
    <row r="263">
      <c r="B263" t="n">
        <v>257</v>
      </c>
      <c r="C263" t="inlineStr">
        <is>
          <t>44112w</t>
        </is>
      </c>
      <c r="D263" t="inlineStr">
        <is>
          <t>44112</t>
        </is>
      </c>
      <c r="F263" t="inlineStr">
        <is>
          <t>M29114</t>
        </is>
      </c>
      <c r="H263" t="inlineStr">
        <is>
          <t>M2911400206</t>
        </is>
      </c>
      <c r="I263" t="inlineStr">
        <is>
          <t>CONTRACTING SPECIALIST</t>
        </is>
      </c>
      <c r="J263" t="inlineStr">
        <is>
          <t>GYSGT</t>
        </is>
      </c>
      <c r="K263" t="inlineStr">
        <is>
          <t>3044</t>
        </is>
      </c>
      <c r="L263" t="inlineStr">
        <is>
          <t>3044</t>
        </is>
      </c>
    </row>
    <row r="264">
      <c r="B264" t="n">
        <v>258</v>
      </c>
      <c r="C264" t="inlineStr">
        <is>
          <t>44112w</t>
        </is>
      </c>
      <c r="D264" t="inlineStr">
        <is>
          <t>44112</t>
        </is>
      </c>
      <c r="F264" t="inlineStr">
        <is>
          <t>M29114</t>
        </is>
      </c>
      <c r="H264" t="inlineStr">
        <is>
          <t>M2911400207</t>
        </is>
      </c>
      <c r="I264" t="inlineStr">
        <is>
          <t>CONTRACTING SPECIALIST</t>
        </is>
      </c>
      <c r="J264" t="inlineStr">
        <is>
          <t>SSGT</t>
        </is>
      </c>
      <c r="K264" t="inlineStr">
        <is>
          <t>3044</t>
        </is>
      </c>
      <c r="L264" t="inlineStr">
        <is>
          <t>3044</t>
        </is>
      </c>
    </row>
    <row r="265">
      <c r="B265" t="n">
        <v>259</v>
      </c>
      <c r="C265" t="inlineStr">
        <is>
          <t>44112w</t>
        </is>
      </c>
      <c r="D265" t="inlineStr">
        <is>
          <t>44112</t>
        </is>
      </c>
      <c r="F265" t="inlineStr">
        <is>
          <t>M29114</t>
        </is>
      </c>
      <c r="H265" t="inlineStr">
        <is>
          <t>M2911400106</t>
        </is>
      </c>
      <c r="I265" t="inlineStr">
        <is>
          <t>LANDING SUPPORT CHIEF</t>
        </is>
      </c>
      <c r="J265" t="inlineStr">
        <is>
          <t>SSGT</t>
        </is>
      </c>
      <c r="K265" t="inlineStr">
        <is>
          <t>0441</t>
        </is>
      </c>
      <c r="L265" t="inlineStr">
        <is>
          <t>0441</t>
        </is>
      </c>
    </row>
    <row r="266">
      <c r="B266" t="n">
        <v>260</v>
      </c>
      <c r="C266" t="inlineStr">
        <is>
          <t>44112w</t>
        </is>
      </c>
      <c r="D266" t="inlineStr">
        <is>
          <t>44112</t>
        </is>
      </c>
      <c r="F266" t="inlineStr">
        <is>
          <t>M29114</t>
        </is>
      </c>
      <c r="H266" t="inlineStr">
        <is>
          <t>M2911400107</t>
        </is>
      </c>
      <c r="I266" t="inlineStr">
        <is>
          <t>LANDING SUPPORT SPECIALIST</t>
        </is>
      </c>
      <c r="J266" t="inlineStr">
        <is>
          <t>SGT</t>
        </is>
      </c>
      <c r="K266" t="inlineStr">
        <is>
          <t>0441</t>
        </is>
      </c>
      <c r="L266" t="inlineStr">
        <is>
          <t>0441</t>
        </is>
      </c>
    </row>
    <row r="267">
      <c r="B267" t="n">
        <v>261</v>
      </c>
      <c r="C267" t="inlineStr">
        <is>
          <t>44112w</t>
        </is>
      </c>
      <c r="D267" t="inlineStr">
        <is>
          <t>44112</t>
        </is>
      </c>
      <c r="F267" t="inlineStr">
        <is>
          <t>M29114</t>
        </is>
      </c>
      <c r="H267" t="inlineStr">
        <is>
          <t>M2911400108</t>
        </is>
      </c>
      <c r="I267" t="inlineStr">
        <is>
          <t>LANDING SUPPORT SPECIALIST</t>
        </is>
      </c>
      <c r="J267" t="inlineStr">
        <is>
          <t>SGT</t>
        </is>
      </c>
      <c r="K267" t="inlineStr">
        <is>
          <t>0441</t>
        </is>
      </c>
      <c r="L267" t="inlineStr">
        <is>
          <t>0441</t>
        </is>
      </c>
    </row>
    <row r="268">
      <c r="B268" t="n">
        <v>262</v>
      </c>
      <c r="C268" t="inlineStr">
        <is>
          <t>44112w</t>
        </is>
      </c>
      <c r="D268" t="inlineStr">
        <is>
          <t>44112</t>
        </is>
      </c>
      <c r="F268" t="inlineStr">
        <is>
          <t>M29114</t>
        </is>
      </c>
      <c r="H268" t="inlineStr">
        <is>
          <t>M2911400109</t>
        </is>
      </c>
      <c r="I268" t="inlineStr">
        <is>
          <t>LANDING SUPPORT SPECIALIST</t>
        </is>
      </c>
      <c r="J268" t="inlineStr">
        <is>
          <t>CPL</t>
        </is>
      </c>
      <c r="K268" t="inlineStr">
        <is>
          <t>0441</t>
        </is>
      </c>
      <c r="L268" t="inlineStr">
        <is>
          <t>0441</t>
        </is>
      </c>
    </row>
    <row r="269">
      <c r="B269" t="n">
        <v>263</v>
      </c>
      <c r="C269" t="inlineStr">
        <is>
          <t>44112w</t>
        </is>
      </c>
      <c r="D269" t="inlineStr">
        <is>
          <t>44112</t>
        </is>
      </c>
      <c r="F269" t="inlineStr">
        <is>
          <t>M29114</t>
        </is>
      </c>
      <c r="H269" t="inlineStr">
        <is>
          <t>M2911400110</t>
        </is>
      </c>
      <c r="I269" t="inlineStr">
        <is>
          <t>LANDING SUPPORT SPECIALIST</t>
        </is>
      </c>
      <c r="J269" t="inlineStr">
        <is>
          <t>CPL</t>
        </is>
      </c>
      <c r="K269" t="inlineStr">
        <is>
          <t>0441</t>
        </is>
      </c>
      <c r="L269" t="inlineStr">
        <is>
          <t>0441</t>
        </is>
      </c>
    </row>
    <row r="270">
      <c r="B270" t="n">
        <v>264</v>
      </c>
      <c r="C270" t="inlineStr">
        <is>
          <t>44112w</t>
        </is>
      </c>
      <c r="D270" t="inlineStr">
        <is>
          <t>44112</t>
        </is>
      </c>
      <c r="F270" t="inlineStr">
        <is>
          <t>M29114</t>
        </is>
      </c>
      <c r="H270" t="inlineStr">
        <is>
          <t>M2911400111</t>
        </is>
      </c>
      <c r="I270" t="inlineStr">
        <is>
          <t>LANDING SUPPORT SPECIALIST</t>
        </is>
      </c>
      <c r="J270" t="inlineStr">
        <is>
          <t>CPL</t>
        </is>
      </c>
      <c r="K270" t="inlineStr">
        <is>
          <t>0441</t>
        </is>
      </c>
      <c r="L270" t="inlineStr">
        <is>
          <t>0441</t>
        </is>
      </c>
    </row>
    <row r="271">
      <c r="B271" t="n">
        <v>265</v>
      </c>
      <c r="C271" t="inlineStr">
        <is>
          <t>44112w</t>
        </is>
      </c>
      <c r="D271" t="inlineStr">
        <is>
          <t>44112</t>
        </is>
      </c>
      <c r="F271" t="inlineStr">
        <is>
          <t>M29114</t>
        </is>
      </c>
      <c r="H271" t="inlineStr">
        <is>
          <t>M2911400112</t>
        </is>
      </c>
      <c r="I271" t="inlineStr">
        <is>
          <t>LANDING SUPPORT SPECIALIST</t>
        </is>
      </c>
      <c r="J271" t="inlineStr">
        <is>
          <t>LCPL</t>
        </is>
      </c>
      <c r="K271" t="inlineStr">
        <is>
          <t>0441</t>
        </is>
      </c>
      <c r="L271" t="inlineStr">
        <is>
          <t>0441</t>
        </is>
      </c>
    </row>
    <row r="272">
      <c r="B272" t="n">
        <v>266</v>
      </c>
      <c r="C272" t="inlineStr">
        <is>
          <t>44112w</t>
        </is>
      </c>
      <c r="D272" t="inlineStr">
        <is>
          <t>44112</t>
        </is>
      </c>
      <c r="F272" t="inlineStr">
        <is>
          <t>M29114</t>
        </is>
      </c>
      <c r="H272" t="inlineStr">
        <is>
          <t>M2911400113</t>
        </is>
      </c>
      <c r="I272" t="inlineStr">
        <is>
          <t>LANDING SUPPORT SPECIALIST</t>
        </is>
      </c>
      <c r="J272" t="inlineStr">
        <is>
          <t>LCPL</t>
        </is>
      </c>
      <c r="K272" t="inlineStr">
        <is>
          <t>0441</t>
        </is>
      </c>
      <c r="L272" t="inlineStr">
        <is>
          <t>0441</t>
        </is>
      </c>
    </row>
    <row r="273">
      <c r="B273" t="n">
        <v>267</v>
      </c>
      <c r="C273" t="inlineStr">
        <is>
          <t>44112w</t>
        </is>
      </c>
      <c r="D273" t="inlineStr">
        <is>
          <t>44112</t>
        </is>
      </c>
      <c r="F273" t="inlineStr">
        <is>
          <t>M29114</t>
        </is>
      </c>
      <c r="H273" t="inlineStr">
        <is>
          <t>M2911400114</t>
        </is>
      </c>
      <c r="I273" t="inlineStr">
        <is>
          <t>LANDING SUPPORT SPECIALIST</t>
        </is>
      </c>
      <c r="J273" t="inlineStr">
        <is>
          <t>LCPL</t>
        </is>
      </c>
      <c r="K273" t="inlineStr">
        <is>
          <t>0441</t>
        </is>
      </c>
      <c r="L273" t="inlineStr">
        <is>
          <t>0441</t>
        </is>
      </c>
    </row>
    <row r="274">
      <c r="B274" t="n">
        <v>268</v>
      </c>
      <c r="C274" t="inlineStr">
        <is>
          <t>44112w</t>
        </is>
      </c>
      <c r="D274" t="inlineStr">
        <is>
          <t>44112</t>
        </is>
      </c>
      <c r="F274" t="inlineStr">
        <is>
          <t>M29114</t>
        </is>
      </c>
      <c r="H274" t="inlineStr">
        <is>
          <t>M2911400115</t>
        </is>
      </c>
      <c r="I274" t="inlineStr">
        <is>
          <t>LANDING SUPPORT SPECIALIST</t>
        </is>
      </c>
      <c r="J274" t="inlineStr">
        <is>
          <t>PFC</t>
        </is>
      </c>
      <c r="K274" t="inlineStr">
        <is>
          <t>0441</t>
        </is>
      </c>
      <c r="L274" t="inlineStr">
        <is>
          <t>0441</t>
        </is>
      </c>
    </row>
    <row r="275">
      <c r="B275" t="n">
        <v>269</v>
      </c>
      <c r="C275" t="inlineStr">
        <is>
          <t>44112w</t>
        </is>
      </c>
      <c r="D275" t="inlineStr">
        <is>
          <t>44112</t>
        </is>
      </c>
      <c r="F275" t="inlineStr">
        <is>
          <t>M29114</t>
        </is>
      </c>
      <c r="H275" t="inlineStr">
        <is>
          <t>M2911400134</t>
        </is>
      </c>
      <c r="I275" t="inlineStr">
        <is>
          <t>PLATOON COMMANDER</t>
        </is>
      </c>
      <c r="J275" t="inlineStr">
        <is>
          <t>CWO2</t>
        </is>
      </c>
      <c r="K275" t="inlineStr">
        <is>
          <t>3010</t>
        </is>
      </c>
      <c r="L275" t="inlineStr">
        <is>
          <t>3010</t>
        </is>
      </c>
    </row>
    <row r="276">
      <c r="B276" t="n">
        <v>270</v>
      </c>
      <c r="C276" t="inlineStr">
        <is>
          <t>61072o</t>
        </is>
      </c>
      <c r="D276" t="inlineStr">
        <is>
          <t>61072</t>
        </is>
      </c>
      <c r="F276" t="inlineStr">
        <is>
          <t>M29114</t>
        </is>
      </c>
      <c r="H276" t="inlineStr">
        <is>
          <t>M2911400045</t>
        </is>
      </c>
      <c r="I276" t="inlineStr">
        <is>
          <t>SUPPLY ADMIN CHIEF</t>
        </is>
      </c>
      <c r="J276" t="inlineStr">
        <is>
          <t>SSGT</t>
        </is>
      </c>
      <c r="K276" t="inlineStr">
        <is>
          <t>3047</t>
        </is>
      </c>
      <c r="L276" t="inlineStr">
        <is>
          <t>3047</t>
        </is>
      </c>
    </row>
    <row r="277">
      <c r="B277" t="n">
        <v>271</v>
      </c>
      <c r="C277" t="inlineStr">
        <is>
          <t>44112w</t>
        </is>
      </c>
      <c r="D277" t="inlineStr">
        <is>
          <t>44112</t>
        </is>
      </c>
      <c r="F277" t="inlineStr">
        <is>
          <t>M29114</t>
        </is>
      </c>
      <c r="H277" t="inlineStr">
        <is>
          <t>M2911400135</t>
        </is>
      </c>
      <c r="I277" t="inlineStr">
        <is>
          <t>DISTRIBUTION MANAGEMENT CHIEF</t>
        </is>
      </c>
      <c r="J277" t="inlineStr">
        <is>
          <t>SSGT</t>
        </is>
      </c>
      <c r="K277" t="inlineStr">
        <is>
          <t>3152</t>
        </is>
      </c>
      <c r="L277" t="inlineStr">
        <is>
          <t>3152</t>
        </is>
      </c>
    </row>
    <row r="278">
      <c r="B278" t="n">
        <v>272</v>
      </c>
      <c r="C278" t="inlineStr">
        <is>
          <t>44112w</t>
        </is>
      </c>
      <c r="D278" t="inlineStr">
        <is>
          <t>44112</t>
        </is>
      </c>
      <c r="F278" t="inlineStr">
        <is>
          <t>M29114</t>
        </is>
      </c>
      <c r="H278" t="inlineStr">
        <is>
          <t>M2911400136</t>
        </is>
      </c>
      <c r="I278" t="inlineStr">
        <is>
          <t>DISTRIBUTION MANAGEMENT SPECIALIST</t>
        </is>
      </c>
      <c r="J278" t="inlineStr">
        <is>
          <t>SGT</t>
        </is>
      </c>
      <c r="K278" t="inlineStr">
        <is>
          <t>3152</t>
        </is>
      </c>
      <c r="L278" t="inlineStr">
        <is>
          <t>3152</t>
        </is>
      </c>
    </row>
    <row r="279">
      <c r="B279" t="n">
        <v>273</v>
      </c>
      <c r="C279" t="inlineStr">
        <is>
          <t>44112w</t>
        </is>
      </c>
      <c r="D279" t="inlineStr">
        <is>
          <t>44112</t>
        </is>
      </c>
      <c r="F279" t="inlineStr">
        <is>
          <t>M29114</t>
        </is>
      </c>
      <c r="H279" t="inlineStr">
        <is>
          <t>M2911400138</t>
        </is>
      </c>
      <c r="I279" t="inlineStr">
        <is>
          <t>DISTRIBUTION MANAGEMENT SPECIALIST</t>
        </is>
      </c>
      <c r="J279" t="inlineStr">
        <is>
          <t>CPL</t>
        </is>
      </c>
      <c r="K279" t="inlineStr">
        <is>
          <t>3152</t>
        </is>
      </c>
      <c r="L279" t="inlineStr">
        <is>
          <t>3152</t>
        </is>
      </c>
    </row>
    <row r="280">
      <c r="B280" t="n">
        <v>274</v>
      </c>
      <c r="C280" t="inlineStr">
        <is>
          <t>44112w</t>
        </is>
      </c>
      <c r="D280" t="inlineStr">
        <is>
          <t>44112</t>
        </is>
      </c>
      <c r="F280" t="inlineStr">
        <is>
          <t>M29114</t>
        </is>
      </c>
      <c r="H280" t="inlineStr">
        <is>
          <t>M2911400139</t>
        </is>
      </c>
      <c r="I280" t="inlineStr">
        <is>
          <t>DISTRIBUTION MANAGEMENT SPECIALIST</t>
        </is>
      </c>
      <c r="J280" t="inlineStr">
        <is>
          <t>LCPL</t>
        </is>
      </c>
      <c r="K280" t="inlineStr">
        <is>
          <t>3152</t>
        </is>
      </c>
      <c r="L280" t="inlineStr">
        <is>
          <t>3152</t>
        </is>
      </c>
    </row>
    <row r="281">
      <c r="B281" t="n">
        <v>275</v>
      </c>
      <c r="C281" t="inlineStr">
        <is>
          <t>14326</t>
        </is>
      </c>
      <c r="D281" t="inlineStr">
        <is>
          <t>14326</t>
        </is>
      </c>
      <c r="F281" t="inlineStr">
        <is>
          <t>M29114</t>
        </is>
      </c>
      <c r="H281" t="inlineStr">
        <is>
          <t>M2911400145</t>
        </is>
      </c>
      <c r="I281" t="inlineStr">
        <is>
          <t>AMMUNITION CHIEF</t>
        </is>
      </c>
      <c r="J281" t="inlineStr">
        <is>
          <t>SSGT</t>
        </is>
      </c>
      <c r="K281" t="inlineStr">
        <is>
          <t>2311</t>
        </is>
      </c>
      <c r="L281" t="inlineStr">
        <is>
          <t>2311</t>
        </is>
      </c>
    </row>
    <row r="282">
      <c r="B282" t="n">
        <v>276</v>
      </c>
      <c r="C282" t="inlineStr">
        <is>
          <t>14326</t>
        </is>
      </c>
      <c r="D282" t="inlineStr">
        <is>
          <t>14326</t>
        </is>
      </c>
      <c r="F282" t="inlineStr">
        <is>
          <t>M29114</t>
        </is>
      </c>
      <c r="H282" t="inlineStr">
        <is>
          <t>M2911400046</t>
        </is>
      </c>
      <c r="I282" t="inlineStr">
        <is>
          <t>AMMUNITION TECHNICIAN</t>
        </is>
      </c>
      <c r="J282" t="inlineStr">
        <is>
          <t>SGT</t>
        </is>
      </c>
      <c r="K282" t="inlineStr">
        <is>
          <t>2311</t>
        </is>
      </c>
      <c r="L282" t="inlineStr">
        <is>
          <t>2311</t>
        </is>
      </c>
    </row>
    <row r="283">
      <c r="B283" t="n">
        <v>277</v>
      </c>
      <c r="C283" t="inlineStr">
        <is>
          <t>14326</t>
        </is>
      </c>
      <c r="D283" t="inlineStr">
        <is>
          <t>14326</t>
        </is>
      </c>
      <c r="F283" t="inlineStr">
        <is>
          <t>M29114</t>
        </is>
      </c>
      <c r="H283" t="inlineStr">
        <is>
          <t>M2911400141</t>
        </is>
      </c>
      <c r="I283" t="inlineStr">
        <is>
          <t>AMMUNITION TECHNICIAN</t>
        </is>
      </c>
      <c r="J283" t="inlineStr">
        <is>
          <t>SGT</t>
        </is>
      </c>
      <c r="K283" t="inlineStr">
        <is>
          <t>2311</t>
        </is>
      </c>
      <c r="L283" t="inlineStr">
        <is>
          <t>2311</t>
        </is>
      </c>
    </row>
    <row r="284">
      <c r="B284" t="n">
        <v>278</v>
      </c>
      <c r="C284" t="inlineStr">
        <is>
          <t>14326</t>
        </is>
      </c>
      <c r="D284" t="inlineStr">
        <is>
          <t>14326</t>
        </is>
      </c>
      <c r="F284" t="inlineStr">
        <is>
          <t>M29114</t>
        </is>
      </c>
      <c r="H284" t="inlineStr">
        <is>
          <t>M2911400142</t>
        </is>
      </c>
      <c r="I284" t="inlineStr">
        <is>
          <t>AMMUNITION TECHNICIAN</t>
        </is>
      </c>
      <c r="J284" t="inlineStr">
        <is>
          <t>CPL</t>
        </is>
      </c>
      <c r="K284" t="inlineStr">
        <is>
          <t>2311</t>
        </is>
      </c>
      <c r="L284" t="inlineStr">
        <is>
          <t>2311</t>
        </is>
      </c>
    </row>
    <row r="285">
      <c r="B285" t="n">
        <v>279</v>
      </c>
      <c r="C285" t="inlineStr">
        <is>
          <t>14326</t>
        </is>
      </c>
      <c r="D285" t="inlineStr">
        <is>
          <t>14326</t>
        </is>
      </c>
      <c r="F285" t="inlineStr">
        <is>
          <t>M29114</t>
        </is>
      </c>
      <c r="H285" t="inlineStr">
        <is>
          <t>M2911400143</t>
        </is>
      </c>
      <c r="I285" t="inlineStr">
        <is>
          <t>AMMUNITION TECHNICIAN</t>
        </is>
      </c>
      <c r="J285" t="inlineStr">
        <is>
          <t>CPL</t>
        </is>
      </c>
      <c r="K285" t="inlineStr">
        <is>
          <t>2311</t>
        </is>
      </c>
      <c r="L285" t="inlineStr">
        <is>
          <t>2311</t>
        </is>
      </c>
    </row>
    <row r="286">
      <c r="B286" t="n">
        <v>280</v>
      </c>
      <c r="C286" t="inlineStr">
        <is>
          <t>14326</t>
        </is>
      </c>
      <c r="D286" t="inlineStr">
        <is>
          <t>14326</t>
        </is>
      </c>
      <c r="F286" t="inlineStr">
        <is>
          <t>M29114</t>
        </is>
      </c>
      <c r="H286" t="inlineStr">
        <is>
          <t>M2911400144</t>
        </is>
      </c>
      <c r="I286" t="inlineStr">
        <is>
          <t>AMMUNITION TECHNICIAN</t>
        </is>
      </c>
      <c r="J286" t="inlineStr">
        <is>
          <t>LCPL</t>
        </is>
      </c>
      <c r="K286" t="inlineStr">
        <is>
          <t>2311</t>
        </is>
      </c>
      <c r="L286" t="inlineStr">
        <is>
          <t>2311</t>
        </is>
      </c>
    </row>
    <row r="287">
      <c r="B287" t="n">
        <v>281</v>
      </c>
      <c r="C287" t="inlineStr">
        <is>
          <t>14326</t>
        </is>
      </c>
      <c r="D287" t="inlineStr">
        <is>
          <t>14326</t>
        </is>
      </c>
      <c r="F287" t="inlineStr">
        <is>
          <t>M29114</t>
        </is>
      </c>
      <c r="H287" t="inlineStr">
        <is>
          <t>M2911400047</t>
        </is>
      </c>
      <c r="I287" t="inlineStr">
        <is>
          <t>AMMUNITION TECHNICIAN</t>
        </is>
      </c>
      <c r="J287" t="inlineStr">
        <is>
          <t>LCPL</t>
        </is>
      </c>
      <c r="K287" t="inlineStr">
        <is>
          <t>2311</t>
        </is>
      </c>
      <c r="L287" t="inlineStr">
        <is>
          <t>2311</t>
        </is>
      </c>
    </row>
    <row r="288">
      <c r="B288" t="n">
        <v>282</v>
      </c>
      <c r="C288" t="inlineStr">
        <is>
          <t>21730</t>
        </is>
      </c>
      <c r="D288" t="inlineStr">
        <is>
          <t>21730</t>
        </is>
      </c>
      <c r="F288" t="inlineStr">
        <is>
          <t>M29114</t>
        </is>
      </c>
      <c r="H288" t="inlineStr">
        <is>
          <t>M2911400147</t>
        </is>
      </c>
      <c r="I288" t="inlineStr">
        <is>
          <t>ELECTRICIAN</t>
        </is>
      </c>
      <c r="J288" t="inlineStr">
        <is>
          <t>SSGT</t>
        </is>
      </c>
      <c r="K288" t="inlineStr">
        <is>
          <t>1141</t>
        </is>
      </c>
      <c r="L288" t="inlineStr">
        <is>
          <t>1141</t>
        </is>
      </c>
    </row>
    <row r="289">
      <c r="B289" t="n">
        <v>283</v>
      </c>
      <c r="C289" t="inlineStr">
        <is>
          <t>21730</t>
        </is>
      </c>
      <c r="D289" t="inlineStr">
        <is>
          <t>21730</t>
        </is>
      </c>
      <c r="F289" t="inlineStr">
        <is>
          <t>M29114</t>
        </is>
      </c>
      <c r="H289" t="inlineStr">
        <is>
          <t>M2911400148</t>
        </is>
      </c>
      <c r="I289" t="inlineStr">
        <is>
          <t>UTILITIES SYSTEMS TECHNICIAN NCO</t>
        </is>
      </c>
      <c r="J289" t="inlineStr">
        <is>
          <t>CPL</t>
        </is>
      </c>
      <c r="K289" t="inlineStr">
        <is>
          <t>1164</t>
        </is>
      </c>
      <c r="L289" t="inlineStr">
        <is>
          <t>1164</t>
        </is>
      </c>
    </row>
    <row r="290">
      <c r="B290" t="n">
        <v>284</v>
      </c>
      <c r="C290" t="inlineStr"/>
      <c r="D290" t="inlineStr"/>
      <c r="F290" t="inlineStr">
        <is>
          <t>M29114</t>
        </is>
      </c>
      <c r="H290" t="inlineStr">
        <is>
          <t>M2911400150</t>
        </is>
      </c>
      <c r="I290" t="inlineStr">
        <is>
          <t>FOOD SERVICE CHIEF</t>
        </is>
      </c>
      <c r="J290" t="inlineStr">
        <is>
          <t>SSGT</t>
        </is>
      </c>
      <c r="K290" t="inlineStr">
        <is>
          <t>3381</t>
        </is>
      </c>
      <c r="L290" t="inlineStr">
        <is>
          <t>3381</t>
        </is>
      </c>
    </row>
    <row r="291">
      <c r="B291" t="n">
        <v>285</v>
      </c>
      <c r="C291" t="inlineStr"/>
      <c r="D291" t="inlineStr"/>
      <c r="F291" t="inlineStr">
        <is>
          <t>M29114</t>
        </is>
      </c>
      <c r="H291" t="inlineStr">
        <is>
          <t>M2911400153</t>
        </is>
      </c>
      <c r="I291" t="inlineStr">
        <is>
          <t>FOOD SERVICE SPECIALIST</t>
        </is>
      </c>
      <c r="J291" t="inlineStr">
        <is>
          <t>SGT</t>
        </is>
      </c>
      <c r="K291" t="inlineStr">
        <is>
          <t>3381</t>
        </is>
      </c>
      <c r="L291" t="inlineStr">
        <is>
          <t>3381</t>
        </is>
      </c>
    </row>
    <row r="292">
      <c r="B292" t="n">
        <v>286</v>
      </c>
      <c r="C292" t="inlineStr"/>
      <c r="D292" t="inlineStr"/>
      <c r="F292" t="inlineStr">
        <is>
          <t>M29114</t>
        </is>
      </c>
      <c r="H292" t="inlineStr">
        <is>
          <t>M2911400151</t>
        </is>
      </c>
      <c r="I292" t="inlineStr">
        <is>
          <t>FOOD SERVICE SPECIALIST</t>
        </is>
      </c>
      <c r="J292" t="inlineStr">
        <is>
          <t>CPL</t>
        </is>
      </c>
      <c r="K292" t="inlineStr">
        <is>
          <t>3381</t>
        </is>
      </c>
      <c r="L292" t="inlineStr">
        <is>
          <t>3381</t>
        </is>
      </c>
    </row>
    <row r="293">
      <c r="B293" t="n">
        <v>287</v>
      </c>
      <c r="C293" t="inlineStr"/>
      <c r="D293" t="inlineStr"/>
      <c r="F293" t="inlineStr">
        <is>
          <t>M29114</t>
        </is>
      </c>
      <c r="H293" t="inlineStr">
        <is>
          <t>M2911400152</t>
        </is>
      </c>
      <c r="I293" t="inlineStr">
        <is>
          <t>FOOD SERVICE SPECIALIST</t>
        </is>
      </c>
      <c r="J293" t="inlineStr">
        <is>
          <t>LCPL</t>
        </is>
      </c>
      <c r="K293" t="inlineStr">
        <is>
          <t>3381</t>
        </is>
      </c>
      <c r="L293" t="inlineStr">
        <is>
          <t>3381</t>
        </is>
      </c>
    </row>
    <row r="294">
      <c r="B294" t="n">
        <v>288</v>
      </c>
      <c r="C294" t="inlineStr"/>
      <c r="D294" t="inlineStr"/>
      <c r="F294" t="inlineStr">
        <is>
          <t>M29114</t>
        </is>
      </c>
      <c r="H294" t="inlineStr">
        <is>
          <t>M2909200015</t>
        </is>
      </c>
      <c r="I294" t="inlineStr">
        <is>
          <t>DENT GP</t>
        </is>
      </c>
      <c r="J294" t="inlineStr">
        <is>
          <t>LT</t>
        </is>
      </c>
      <c r="K294" t="inlineStr">
        <is>
          <t>2200</t>
        </is>
      </c>
      <c r="L294" t="inlineStr">
        <is>
          <t>2200</t>
        </is>
      </c>
    </row>
    <row r="295">
      <c r="B295" t="n">
        <v>289</v>
      </c>
      <c r="C295" t="inlineStr"/>
      <c r="D295" t="inlineStr"/>
      <c r="F295" t="inlineStr">
        <is>
          <t>M29114</t>
        </is>
      </c>
      <c r="H295" t="inlineStr">
        <is>
          <t>M2909200043</t>
        </is>
      </c>
      <c r="I295" t="inlineStr">
        <is>
          <t>DENTAL ASST</t>
        </is>
      </c>
      <c r="J295" t="inlineStr">
        <is>
          <t>HM3</t>
        </is>
      </c>
      <c r="K295" t="inlineStr">
        <is>
          <t>L33A</t>
        </is>
      </c>
      <c r="L295" t="inlineStr">
        <is>
          <t>L03A</t>
        </is>
      </c>
    </row>
    <row r="296">
      <c r="B296" t="n">
        <v>290</v>
      </c>
      <c r="C296" t="inlineStr"/>
      <c r="D296" t="inlineStr"/>
      <c r="F296" t="inlineStr">
        <is>
          <t>M29114</t>
        </is>
      </c>
      <c r="H296" t="inlineStr">
        <is>
          <t>M2909200044</t>
        </is>
      </c>
      <c r="I296" t="inlineStr">
        <is>
          <t>DENTAL ASST</t>
        </is>
      </c>
      <c r="J296" t="inlineStr">
        <is>
          <t>HM3</t>
        </is>
      </c>
      <c r="K296" t="inlineStr">
        <is>
          <t>L33A</t>
        </is>
      </c>
      <c r="L296" t="inlineStr">
        <is>
          <t>L03A</t>
        </is>
      </c>
    </row>
    <row r="297">
      <c r="B297" t="n">
        <v>291</v>
      </c>
      <c r="C297" t="inlineStr"/>
      <c r="D297" t="inlineStr"/>
      <c r="F297" t="inlineStr">
        <is>
          <t>M29114</t>
        </is>
      </c>
      <c r="H297" t="inlineStr">
        <is>
          <t>M2826300499</t>
        </is>
      </c>
      <c r="I297" t="inlineStr">
        <is>
          <t>FLD MED TECH</t>
        </is>
      </c>
      <c r="J297" t="inlineStr">
        <is>
          <t>HM2</t>
        </is>
      </c>
      <c r="K297" t="inlineStr">
        <is>
          <t>L03A</t>
        </is>
      </c>
      <c r="L297" t="inlineStr">
        <is>
          <t>L03A</t>
        </is>
      </c>
    </row>
    <row r="298">
      <c r="B298" t="n">
        <v>292</v>
      </c>
      <c r="C298" t="inlineStr"/>
      <c r="D298" t="inlineStr"/>
      <c r="F298" t="inlineStr">
        <is>
          <t>M29114</t>
        </is>
      </c>
      <c r="H298" t="inlineStr">
        <is>
          <t>M2826300502</t>
        </is>
      </c>
      <c r="I298" t="inlineStr">
        <is>
          <t>FLD MED TECH</t>
        </is>
      </c>
      <c r="J298" t="inlineStr">
        <is>
          <t>HM3</t>
        </is>
      </c>
      <c r="K298" t="inlineStr">
        <is>
          <t>L03A</t>
        </is>
      </c>
      <c r="L298" t="inlineStr">
        <is>
          <t>L03A</t>
        </is>
      </c>
    </row>
    <row r="299">
      <c r="B299" t="n">
        <v>293</v>
      </c>
      <c r="C299" t="inlineStr"/>
      <c r="D299" t="inlineStr"/>
      <c r="F299" t="inlineStr">
        <is>
          <t>M29114</t>
        </is>
      </c>
      <c r="H299" t="inlineStr">
        <is>
          <t>M2826300503</t>
        </is>
      </c>
      <c r="I299" t="inlineStr">
        <is>
          <t>FLD MED TECH</t>
        </is>
      </c>
      <c r="J299" t="inlineStr">
        <is>
          <t>HM3</t>
        </is>
      </c>
      <c r="K299" t="inlineStr">
        <is>
          <t>L03A</t>
        </is>
      </c>
      <c r="L299" t="inlineStr">
        <is>
          <t>L03A</t>
        </is>
      </c>
    </row>
    <row r="300">
      <c r="B300" t="n">
        <v>294</v>
      </c>
      <c r="C300" t="inlineStr"/>
      <c r="D300" t="inlineStr"/>
      <c r="F300" t="inlineStr">
        <is>
          <t>M29114</t>
        </is>
      </c>
      <c r="H300" t="inlineStr">
        <is>
          <t>M2826300504</t>
        </is>
      </c>
      <c r="I300" t="inlineStr">
        <is>
          <t>FLD MED TECH</t>
        </is>
      </c>
      <c r="J300" t="inlineStr">
        <is>
          <t>HM3</t>
        </is>
      </c>
      <c r="K300" t="inlineStr">
        <is>
          <t>L03A</t>
        </is>
      </c>
      <c r="L300" t="inlineStr">
        <is>
          <t>L03A</t>
        </is>
      </c>
    </row>
    <row r="301">
      <c r="B301" t="n">
        <v>295</v>
      </c>
      <c r="C301" t="inlineStr">
        <is>
          <t>14345</t>
        </is>
      </c>
      <c r="D301" t="inlineStr">
        <is>
          <t>14345</t>
        </is>
      </c>
      <c r="F301" t="inlineStr">
        <is>
          <t>M29114</t>
        </is>
      </c>
      <c r="H301" t="inlineStr">
        <is>
          <t>M2826300698</t>
        </is>
      </c>
      <c r="I301" t="inlineStr">
        <is>
          <t>EMERG MED SPEC</t>
        </is>
      </c>
      <c r="J301" t="inlineStr">
        <is>
          <t>LCDR</t>
        </is>
      </c>
      <c r="K301" t="inlineStr">
        <is>
          <t>2100</t>
        </is>
      </c>
      <c r="L301" t="inlineStr">
        <is>
          <t>2100</t>
        </is>
      </c>
    </row>
    <row r="302">
      <c r="B302" t="n">
        <v>296</v>
      </c>
      <c r="C302" t="inlineStr">
        <is>
          <t>14345</t>
        </is>
      </c>
      <c r="D302" t="inlineStr">
        <is>
          <t>14345</t>
        </is>
      </c>
      <c r="F302" t="inlineStr">
        <is>
          <t>M29114</t>
        </is>
      </c>
      <c r="H302" t="inlineStr">
        <is>
          <t>M2826300699</t>
        </is>
      </c>
      <c r="I302" t="inlineStr">
        <is>
          <t>EMERG MED SPEC</t>
        </is>
      </c>
      <c r="J302" t="inlineStr">
        <is>
          <t>LCDR</t>
        </is>
      </c>
      <c r="K302" t="inlineStr">
        <is>
          <t>2100</t>
        </is>
      </c>
      <c r="L302" t="inlineStr">
        <is>
          <t>2100</t>
        </is>
      </c>
    </row>
    <row r="303">
      <c r="B303" t="n">
        <v>297</v>
      </c>
      <c r="C303" t="inlineStr">
        <is>
          <t>14326</t>
        </is>
      </c>
      <c r="D303" t="inlineStr">
        <is>
          <t>14326</t>
        </is>
      </c>
      <c r="F303" t="inlineStr">
        <is>
          <t>M29114</t>
        </is>
      </c>
      <c r="H303" t="inlineStr">
        <is>
          <t>M2826300700</t>
        </is>
      </c>
      <c r="I303" t="inlineStr">
        <is>
          <t>PHYSICIAN ASST</t>
        </is>
      </c>
      <c r="J303" t="inlineStr">
        <is>
          <t>LT</t>
        </is>
      </c>
      <c r="K303" t="inlineStr">
        <is>
          <t>2300</t>
        </is>
      </c>
      <c r="L303" t="inlineStr">
        <is>
          <t>2300</t>
        </is>
      </c>
    </row>
    <row r="304">
      <c r="B304" t="n">
        <v>298</v>
      </c>
      <c r="C304" t="inlineStr"/>
      <c r="D304" t="inlineStr"/>
      <c r="F304" t="inlineStr">
        <is>
          <t>M29114</t>
        </is>
      </c>
      <c r="H304" t="inlineStr">
        <is>
          <t>M2826300701</t>
        </is>
      </c>
      <c r="I304" t="inlineStr">
        <is>
          <t>SURFACE IDC</t>
        </is>
      </c>
      <c r="J304" t="inlineStr">
        <is>
          <t>HMC</t>
        </is>
      </c>
      <c r="K304" t="inlineStr">
        <is>
          <t>L10A</t>
        </is>
      </c>
      <c r="L304" t="inlineStr">
        <is>
          <t>L03A</t>
        </is>
      </c>
    </row>
    <row r="305">
      <c r="B305" t="n">
        <v>299</v>
      </c>
      <c r="C305" t="inlineStr"/>
      <c r="D305" t="inlineStr"/>
      <c r="F305" t="inlineStr">
        <is>
          <t>M29114</t>
        </is>
      </c>
      <c r="H305" t="inlineStr">
        <is>
          <t>M2826300702</t>
        </is>
      </c>
      <c r="I305" t="inlineStr">
        <is>
          <t>FLD MED TECH</t>
        </is>
      </c>
      <c r="J305" t="inlineStr">
        <is>
          <t>HM2</t>
        </is>
      </c>
      <c r="K305" t="inlineStr">
        <is>
          <t>L03A</t>
        </is>
      </c>
      <c r="L305" t="inlineStr">
        <is>
          <t>L03A</t>
        </is>
      </c>
    </row>
    <row r="306">
      <c r="B306" t="n">
        <v>300</v>
      </c>
      <c r="C306" t="inlineStr"/>
      <c r="D306" t="inlineStr"/>
      <c r="F306" t="inlineStr">
        <is>
          <t>M29114</t>
        </is>
      </c>
      <c r="H306" t="inlineStr">
        <is>
          <t>M2826300703</t>
        </is>
      </c>
      <c r="I306" t="inlineStr">
        <is>
          <t>FLD MED TECH</t>
        </is>
      </c>
      <c r="J306" t="inlineStr">
        <is>
          <t>HM2</t>
        </is>
      </c>
      <c r="K306" t="inlineStr">
        <is>
          <t>L03A</t>
        </is>
      </c>
      <c r="L306" t="inlineStr">
        <is>
          <t>L03A</t>
        </is>
      </c>
    </row>
    <row r="307">
      <c r="B307" t="n">
        <v>301</v>
      </c>
      <c r="C307" t="inlineStr"/>
      <c r="D307" t="inlineStr"/>
      <c r="F307" t="inlineStr">
        <is>
          <t>M29114</t>
        </is>
      </c>
      <c r="H307" t="inlineStr">
        <is>
          <t>M2826300508</t>
        </is>
      </c>
      <c r="I307" t="inlineStr">
        <is>
          <t>FLD MED TECH</t>
        </is>
      </c>
      <c r="J307" t="inlineStr">
        <is>
          <t>HM2</t>
        </is>
      </c>
      <c r="K307" t="inlineStr">
        <is>
          <t>L03A</t>
        </is>
      </c>
      <c r="L307" t="inlineStr">
        <is>
          <t>L03A</t>
        </is>
      </c>
    </row>
    <row r="308">
      <c r="B308" t="n">
        <v>302</v>
      </c>
      <c r="C308" t="inlineStr"/>
      <c r="D308" t="inlineStr"/>
      <c r="F308" t="inlineStr">
        <is>
          <t>M29114</t>
        </is>
      </c>
      <c r="H308" t="inlineStr">
        <is>
          <t>M2826300511</t>
        </is>
      </c>
      <c r="I308" t="inlineStr">
        <is>
          <t>FLD MED TECH</t>
        </is>
      </c>
      <c r="J308" t="inlineStr">
        <is>
          <t>HM3</t>
        </is>
      </c>
      <c r="K308" t="inlineStr">
        <is>
          <t>L03A</t>
        </is>
      </c>
      <c r="L308" t="inlineStr">
        <is>
          <t>L03A</t>
        </is>
      </c>
    </row>
    <row r="309">
      <c r="B309" t="n">
        <v>303</v>
      </c>
      <c r="C309" t="inlineStr"/>
      <c r="D309" t="inlineStr"/>
      <c r="F309" t="inlineStr">
        <is>
          <t>M29114</t>
        </is>
      </c>
      <c r="H309" t="inlineStr">
        <is>
          <t>M2826300512</t>
        </is>
      </c>
      <c r="I309" t="inlineStr">
        <is>
          <t>FLD MED TECH</t>
        </is>
      </c>
      <c r="J309" t="inlineStr">
        <is>
          <t>HM3</t>
        </is>
      </c>
      <c r="K309" t="inlineStr">
        <is>
          <t>L03A</t>
        </is>
      </c>
      <c r="L309" t="inlineStr">
        <is>
          <t>L03A</t>
        </is>
      </c>
    </row>
    <row r="310">
      <c r="B310" t="n">
        <v>304</v>
      </c>
      <c r="C310" t="inlineStr"/>
      <c r="D310" t="inlineStr"/>
      <c r="F310" t="inlineStr">
        <is>
          <t>M29114</t>
        </is>
      </c>
      <c r="H310" t="inlineStr">
        <is>
          <t>M2826300513</t>
        </is>
      </c>
      <c r="I310" t="inlineStr">
        <is>
          <t>FLD MED TECH</t>
        </is>
      </c>
      <c r="J310" t="inlineStr">
        <is>
          <t>HM3</t>
        </is>
      </c>
      <c r="K310" t="inlineStr">
        <is>
          <t>L03A</t>
        </is>
      </c>
      <c r="L310" t="inlineStr">
        <is>
          <t>L03A</t>
        </is>
      </c>
    </row>
    <row r="311">
      <c r="B311" t="n">
        <v>305</v>
      </c>
      <c r="C311" t="inlineStr"/>
      <c r="D311" t="inlineStr"/>
      <c r="F311" t="inlineStr">
        <is>
          <t>M29114</t>
        </is>
      </c>
      <c r="H311" t="inlineStr">
        <is>
          <t>M2826300704</t>
        </is>
      </c>
      <c r="I311" t="inlineStr">
        <is>
          <t>EMERG-TRAUMA NRS</t>
        </is>
      </c>
      <c r="J311" t="inlineStr">
        <is>
          <t>LT</t>
        </is>
      </c>
      <c r="K311" t="inlineStr">
        <is>
          <t>2900</t>
        </is>
      </c>
      <c r="L311" t="inlineStr">
        <is>
          <t>2900</t>
        </is>
      </c>
    </row>
    <row r="312">
      <c r="B312" t="n">
        <v>306</v>
      </c>
      <c r="C312" t="inlineStr"/>
      <c r="D312" t="inlineStr"/>
      <c r="F312" t="inlineStr">
        <is>
          <t>M29114</t>
        </is>
      </c>
      <c r="H312" t="inlineStr">
        <is>
          <t>M2826300705</t>
        </is>
      </c>
      <c r="I312" t="inlineStr">
        <is>
          <t>FLD MED TECH</t>
        </is>
      </c>
      <c r="J312" t="inlineStr">
        <is>
          <t>HM1</t>
        </is>
      </c>
      <c r="K312" t="inlineStr">
        <is>
          <t>L03A</t>
        </is>
      </c>
      <c r="L312" t="inlineStr">
        <is>
          <t>L03A</t>
        </is>
      </c>
    </row>
    <row r="313">
      <c r="B313" t="n">
        <v>307</v>
      </c>
      <c r="C313" t="inlineStr"/>
      <c r="D313" t="inlineStr"/>
      <c r="F313" t="inlineStr">
        <is>
          <t>M29114</t>
        </is>
      </c>
      <c r="H313" t="inlineStr">
        <is>
          <t>M2826300706</t>
        </is>
      </c>
      <c r="I313" t="inlineStr">
        <is>
          <t>FLD MED TECH</t>
        </is>
      </c>
      <c r="J313" t="inlineStr">
        <is>
          <t>HM2</t>
        </is>
      </c>
      <c r="K313" t="inlineStr">
        <is>
          <t>L03A</t>
        </is>
      </c>
      <c r="L313" t="inlineStr">
        <is>
          <t>L03A</t>
        </is>
      </c>
    </row>
    <row r="314">
      <c r="B314" t="n">
        <v>308</v>
      </c>
      <c r="C314" t="inlineStr"/>
      <c r="D314" t="inlineStr"/>
      <c r="F314" t="inlineStr">
        <is>
          <t>M29114</t>
        </is>
      </c>
      <c r="H314" t="inlineStr">
        <is>
          <t>M2826300707</t>
        </is>
      </c>
      <c r="I314" t="inlineStr">
        <is>
          <t>FLD MED TECH</t>
        </is>
      </c>
      <c r="J314" t="inlineStr">
        <is>
          <t>HM2</t>
        </is>
      </c>
      <c r="K314" t="inlineStr">
        <is>
          <t>L03A</t>
        </is>
      </c>
      <c r="L314" t="inlineStr">
        <is>
          <t>L03A</t>
        </is>
      </c>
    </row>
    <row r="315">
      <c r="B315" t="n">
        <v>309</v>
      </c>
      <c r="C315" t="inlineStr"/>
      <c r="D315" t="inlineStr"/>
      <c r="F315" t="inlineStr">
        <is>
          <t>M29114</t>
        </is>
      </c>
      <c r="H315" t="inlineStr">
        <is>
          <t>M2826300647</t>
        </is>
      </c>
      <c r="I315" t="inlineStr">
        <is>
          <t>SAR TECH</t>
        </is>
      </c>
      <c r="J315" t="inlineStr">
        <is>
          <t>HM2</t>
        </is>
      </c>
      <c r="K315" t="inlineStr">
        <is>
          <t>L00A</t>
        </is>
      </c>
      <c r="L315" t="inlineStr">
        <is>
          <t>L03A</t>
        </is>
      </c>
    </row>
    <row r="316">
      <c r="B316" t="n">
        <v>310</v>
      </c>
      <c r="C316" t="inlineStr"/>
      <c r="D316" t="inlineStr"/>
      <c r="F316" t="inlineStr">
        <is>
          <t>M29114</t>
        </is>
      </c>
      <c r="H316" t="inlineStr">
        <is>
          <t>M2826300708</t>
        </is>
      </c>
      <c r="I316" t="inlineStr">
        <is>
          <t>CC NRS</t>
        </is>
      </c>
      <c r="J316" t="inlineStr">
        <is>
          <t>LT</t>
        </is>
      </c>
      <c r="K316" t="inlineStr">
        <is>
          <t>2900</t>
        </is>
      </c>
      <c r="L316" t="inlineStr">
        <is>
          <t>2900</t>
        </is>
      </c>
    </row>
  </sheetData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U858"/>
  <sheetViews>
    <sheetView workbookViewId="0">
      <selection activeCell="A1" sqref="A1"/>
    </sheetView>
  </sheetViews>
  <sheetFormatPr baseColWidth="8" defaultRowHeight="15"/>
  <sheetData>
    <row r="4" ht="30" customHeight="1">
      <c r="A4" s="4" t="inlineStr"/>
      <c r="B4" s="4" t="inlineStr">
        <is>
          <t>ROW</t>
        </is>
      </c>
      <c r="C4" s="4" t="inlineStr">
        <is>
          <t>NOTE</t>
        </is>
      </c>
      <c r="D4" s="4" t="inlineStr">
        <is>
          <t>CCN</t>
        </is>
      </c>
      <c r="E4" s="4" t="inlineStr">
        <is>
          <t>CCN Description</t>
        </is>
      </c>
      <c r="F4" s="4" t="inlineStr">
        <is>
          <t>CCN 21451 Equipment Type</t>
        </is>
      </c>
      <c r="G4" s="4" t="inlineStr">
        <is>
          <t>UIC</t>
        </is>
      </c>
      <c r="H4" s="4" t="inlineStr">
        <is>
          <t>TAMCN Short</t>
        </is>
      </c>
      <c r="I4" s="4" t="inlineStr">
        <is>
          <t>TAMCN</t>
        </is>
      </c>
      <c r="J4" s="4" t="inlineStr">
        <is>
          <t>Nomenclature</t>
        </is>
      </c>
      <c r="K4" s="4" t="inlineStr">
        <is>
          <t>TAM Stat</t>
        </is>
      </c>
      <c r="L4" s="4" t="inlineStr">
        <is>
          <t>U/I</t>
        </is>
      </c>
      <c r="M4" s="4" t="inlineStr">
        <is>
          <t>Rdy</t>
        </is>
      </c>
      <c r="N4" s="4" t="inlineStr">
        <is>
          <t>Ind Qty</t>
        </is>
      </c>
      <c r="O4" s="4" t="inlineStr">
        <is>
          <t>Org Qty</t>
        </is>
      </c>
      <c r="P4" s="4" t="inlineStr">
        <is>
          <t>Unit T/E</t>
        </is>
      </c>
      <c r="Q4" s="4" t="inlineStr">
        <is>
          <t>L, Ft</t>
        </is>
      </c>
      <c r="R4" s="4" t="inlineStr">
        <is>
          <t>W, Ft</t>
        </is>
      </c>
      <c r="S4" s="4" t="inlineStr">
        <is>
          <t>H, Ft</t>
        </is>
      </c>
      <c r="T4" s="4" t="inlineStr">
        <is>
          <t>Volume Ea</t>
        </is>
      </c>
      <c r="U4" s="4" t="inlineStr">
        <is>
          <t>Volume Total</t>
        </is>
      </c>
    </row>
    <row r="5">
      <c r="B5" t="n">
        <v>1</v>
      </c>
      <c r="C5" t="inlineStr">
        <is>
          <t>21710</t>
        </is>
      </c>
      <c r="D5" t="inlineStr">
        <is>
          <t>21710</t>
        </is>
      </c>
      <c r="G5" t="inlineStr">
        <is>
          <t>M29111</t>
        </is>
      </c>
      <c r="H5" t="inlineStr">
        <is>
          <t>A0135</t>
        </is>
      </c>
      <c r="I5" t="inlineStr">
        <is>
          <t>A01357G</t>
        </is>
      </c>
      <c r="J5" t="inlineStr">
        <is>
          <t>RADIO SET - AN/VRC-112</t>
        </is>
      </c>
      <c r="K5" t="inlineStr">
        <is>
          <t>DP</t>
        </is>
      </c>
      <c r="L5" t="inlineStr">
        <is>
          <t>EA</t>
        </is>
      </c>
      <c r="M5" t="inlineStr">
        <is>
          <t>N</t>
        </is>
      </c>
      <c r="N5" t="n">
        <v>0</v>
      </c>
      <c r="O5" t="n">
        <v>0</v>
      </c>
      <c r="P5" t="n">
        <v>0</v>
      </c>
    </row>
    <row r="6">
      <c r="B6" t="n">
        <v>2</v>
      </c>
      <c r="C6" t="inlineStr">
        <is>
          <t>21710</t>
        </is>
      </c>
      <c r="D6" t="inlineStr">
        <is>
          <t>21710</t>
        </is>
      </c>
      <c r="G6" t="inlineStr">
        <is>
          <t>M29111</t>
        </is>
      </c>
      <c r="H6" t="inlineStr">
        <is>
          <t>A0176</t>
        </is>
      </c>
      <c r="I6" t="inlineStr">
        <is>
          <t>A01767G</t>
        </is>
      </c>
      <c r="J6" t="inlineStr">
        <is>
          <t>SWITCHING GROUP,DIG - ON-704B/TYC</t>
        </is>
      </c>
      <c r="K6" t="inlineStr">
        <is>
          <t>IS</t>
        </is>
      </c>
      <c r="L6" t="inlineStr">
        <is>
          <t>EA</t>
        </is>
      </c>
      <c r="M6" t="inlineStr">
        <is>
          <t>R</t>
        </is>
      </c>
      <c r="N6" t="n">
        <v>0</v>
      </c>
      <c r="O6" t="n">
        <v>2</v>
      </c>
      <c r="P6" t="n">
        <v>2</v>
      </c>
    </row>
    <row r="7">
      <c r="B7" t="n">
        <v>3</v>
      </c>
      <c r="C7" t="inlineStr">
        <is>
          <t>21710</t>
        </is>
      </c>
      <c r="D7" t="inlineStr">
        <is>
          <t>21710</t>
        </is>
      </c>
      <c r="G7" t="inlineStr">
        <is>
          <t>M29111</t>
        </is>
      </c>
      <c r="H7" t="inlineStr">
        <is>
          <t>A0210</t>
        </is>
      </c>
      <c r="I7" t="inlineStr">
        <is>
          <t>A02107G</t>
        </is>
      </c>
      <c r="J7" t="inlineStr">
        <is>
          <t>ANTENNA GROUP - OE-4703/G</t>
        </is>
      </c>
      <c r="K7" t="inlineStr">
        <is>
          <t>IS</t>
        </is>
      </c>
      <c r="L7" t="inlineStr">
        <is>
          <t>EA</t>
        </is>
      </c>
      <c r="M7" t="inlineStr">
        <is>
          <t>N</t>
        </is>
      </c>
      <c r="N7" t="n">
        <v>0</v>
      </c>
      <c r="O7" t="n">
        <v>6</v>
      </c>
      <c r="P7" t="n">
        <v>6</v>
      </c>
    </row>
    <row r="8">
      <c r="B8" t="n">
        <v>4</v>
      </c>
      <c r="C8" t="inlineStr">
        <is>
          <t>21710</t>
        </is>
      </c>
      <c r="D8" t="inlineStr">
        <is>
          <t>21710</t>
        </is>
      </c>
      <c r="G8" t="inlineStr">
        <is>
          <t>M29111</t>
        </is>
      </c>
      <c r="H8" t="inlineStr">
        <is>
          <t>A0211</t>
        </is>
      </c>
      <c r="I8" t="inlineStr">
        <is>
          <t>A02117G</t>
        </is>
      </c>
      <c r="J8" t="inlineStr">
        <is>
          <t>ANTENNA GROUP - OE-4702/G</t>
        </is>
      </c>
      <c r="K8" t="inlineStr">
        <is>
          <t>IS</t>
        </is>
      </c>
      <c r="L8" t="inlineStr">
        <is>
          <t>EA</t>
        </is>
      </c>
      <c r="M8" t="inlineStr">
        <is>
          <t>N</t>
        </is>
      </c>
      <c r="N8" t="n">
        <v>0</v>
      </c>
      <c r="O8" t="n">
        <v>6</v>
      </c>
      <c r="P8" t="n">
        <v>6</v>
      </c>
    </row>
    <row r="9">
      <c r="B9" t="n">
        <v>5</v>
      </c>
      <c r="C9" t="inlineStr">
        <is>
          <t>21710</t>
        </is>
      </c>
      <c r="D9" t="inlineStr">
        <is>
          <t>21710</t>
        </is>
      </c>
      <c r="G9" t="inlineStr">
        <is>
          <t>M29111</t>
        </is>
      </c>
      <c r="H9" t="inlineStr">
        <is>
          <t>A0234</t>
        </is>
      </c>
      <c r="I9" t="inlineStr">
        <is>
          <t>A02347G</t>
        </is>
      </c>
      <c r="J9" t="inlineStr">
        <is>
          <t>SATELLITE COMMUNICA - AN/TSC-186A</t>
        </is>
      </c>
      <c r="K9" t="inlineStr">
        <is>
          <t>IS</t>
        </is>
      </c>
      <c r="L9" t="inlineStr">
        <is>
          <t>EA</t>
        </is>
      </c>
      <c r="M9" t="inlineStr">
        <is>
          <t>M</t>
        </is>
      </c>
      <c r="N9" t="n">
        <v>0</v>
      </c>
      <c r="O9" t="n">
        <v>1</v>
      </c>
      <c r="P9" t="n">
        <v>1</v>
      </c>
    </row>
    <row r="10">
      <c r="B10" t="n">
        <v>6</v>
      </c>
      <c r="C10" t="inlineStr">
        <is>
          <t>21710</t>
        </is>
      </c>
      <c r="D10" t="inlineStr">
        <is>
          <t>21710</t>
        </is>
      </c>
      <c r="G10" t="inlineStr">
        <is>
          <t>M29111</t>
        </is>
      </c>
      <c r="H10" t="inlineStr">
        <is>
          <t>A0270</t>
        </is>
      </c>
      <c r="I10" t="inlineStr">
        <is>
          <t>A02707G</t>
        </is>
      </c>
      <c r="J10" t="inlineStr">
        <is>
          <t>MODEM,COMMUNICATION - OW-118</t>
        </is>
      </c>
      <c r="K10" t="inlineStr">
        <is>
          <t>PL</t>
        </is>
      </c>
      <c r="L10" t="inlineStr">
        <is>
          <t>EA</t>
        </is>
      </c>
      <c r="M10" t="inlineStr">
        <is>
          <t>N</t>
        </is>
      </c>
      <c r="N10" t="n">
        <v>0</v>
      </c>
      <c r="O10" t="n">
        <v>2</v>
      </c>
      <c r="P10" t="n">
        <v>2</v>
      </c>
    </row>
    <row r="11">
      <c r="B11" t="n">
        <v>7</v>
      </c>
      <c r="C11" t="inlineStr">
        <is>
          <t>21710</t>
        </is>
      </c>
      <c r="D11" t="inlineStr">
        <is>
          <t>21710</t>
        </is>
      </c>
      <c r="G11" t="inlineStr">
        <is>
          <t>M29111</t>
        </is>
      </c>
      <c r="H11" t="inlineStr">
        <is>
          <t>A0280</t>
        </is>
      </c>
      <c r="I11" t="inlineStr">
        <is>
          <t>A02807G</t>
        </is>
      </c>
      <c r="J11" t="inlineStr">
        <is>
          <t>DECODER-RECEIVER - 18007B0000</t>
        </is>
      </c>
      <c r="K11" t="inlineStr">
        <is>
          <t>IS</t>
        </is>
      </c>
      <c r="L11" t="inlineStr">
        <is>
          <t>EA</t>
        </is>
      </c>
      <c r="M11" t="inlineStr">
        <is>
          <t>N</t>
        </is>
      </c>
      <c r="N11" t="n">
        <v>0</v>
      </c>
      <c r="O11" t="n">
        <v>1</v>
      </c>
      <c r="P11" t="n">
        <v>1</v>
      </c>
    </row>
    <row r="12">
      <c r="B12" t="n">
        <v>8</v>
      </c>
      <c r="C12" t="inlineStr">
        <is>
          <t>21710</t>
        </is>
      </c>
      <c r="D12" t="inlineStr">
        <is>
          <t>21710</t>
        </is>
      </c>
      <c r="G12" t="inlineStr">
        <is>
          <t>M29111</t>
        </is>
      </c>
      <c r="H12" t="inlineStr">
        <is>
          <t>A0312</t>
        </is>
      </c>
      <c r="I12" t="inlineStr">
        <is>
          <t>A03127G</t>
        </is>
      </c>
      <c r="J12" t="inlineStr">
        <is>
          <t>INTERFACE UNIT,COMM - J-6884A/TYQ</t>
        </is>
      </c>
      <c r="K12" t="inlineStr">
        <is>
          <t>IS</t>
        </is>
      </c>
      <c r="L12" t="inlineStr">
        <is>
          <t>EA</t>
        </is>
      </c>
      <c r="M12" t="inlineStr">
        <is>
          <t>R</t>
        </is>
      </c>
      <c r="N12" t="n">
        <v>0</v>
      </c>
      <c r="O12" t="n">
        <v>2</v>
      </c>
      <c r="P12" t="n">
        <v>2</v>
      </c>
    </row>
    <row r="13">
      <c r="B13" t="n">
        <v>9</v>
      </c>
      <c r="C13" t="inlineStr">
        <is>
          <t>21710</t>
        </is>
      </c>
      <c r="D13" t="inlineStr">
        <is>
          <t>21710</t>
        </is>
      </c>
      <c r="G13" t="inlineStr">
        <is>
          <t>M29111</t>
        </is>
      </c>
      <c r="H13" t="inlineStr">
        <is>
          <t>A0336</t>
        </is>
      </c>
      <c r="I13" t="inlineStr">
        <is>
          <t>A03367G</t>
        </is>
      </c>
      <c r="J13" t="inlineStr">
        <is>
          <t>RADIO SET - AN/PRC-117G(V)2</t>
        </is>
      </c>
      <c r="K13" t="inlineStr">
        <is>
          <t>IS</t>
        </is>
      </c>
      <c r="L13" t="inlineStr">
        <is>
          <t>EA</t>
        </is>
      </c>
      <c r="M13" t="inlineStr">
        <is>
          <t>R</t>
        </is>
      </c>
      <c r="N13" t="n">
        <v>0</v>
      </c>
      <c r="O13" t="n">
        <v>12</v>
      </c>
      <c r="P13" t="n">
        <v>12</v>
      </c>
    </row>
    <row r="14">
      <c r="B14" t="n">
        <v>10</v>
      </c>
      <c r="C14" t="inlineStr">
        <is>
          <t>21710</t>
        </is>
      </c>
      <c r="D14" t="inlineStr">
        <is>
          <t>21710</t>
        </is>
      </c>
      <c r="G14" t="inlineStr">
        <is>
          <t>M29111</t>
        </is>
      </c>
      <c r="H14" t="inlineStr">
        <is>
          <t>A0371</t>
        </is>
      </c>
      <c r="I14" t="inlineStr">
        <is>
          <t>A03717G</t>
        </is>
      </c>
      <c r="J14" t="inlineStr">
        <is>
          <t>COUNTERMEASURES SET - AN/PLQ-14</t>
        </is>
      </c>
      <c r="K14" t="inlineStr">
        <is>
          <t>IS</t>
        </is>
      </c>
      <c r="L14" t="inlineStr">
        <is>
          <t>SE</t>
        </is>
      </c>
      <c r="M14" t="inlineStr">
        <is>
          <t>N</t>
        </is>
      </c>
      <c r="N14" t="n">
        <v>0</v>
      </c>
      <c r="O14" t="n">
        <v>4</v>
      </c>
      <c r="P14" t="n">
        <v>4</v>
      </c>
    </row>
    <row r="15">
      <c r="B15" t="n">
        <v>11</v>
      </c>
      <c r="C15" t="inlineStr">
        <is>
          <t>21710</t>
        </is>
      </c>
      <c r="D15" t="inlineStr">
        <is>
          <t>21710</t>
        </is>
      </c>
      <c r="G15" t="inlineStr">
        <is>
          <t>M29111</t>
        </is>
      </c>
      <c r="H15" t="inlineStr">
        <is>
          <t>A0460</t>
        </is>
      </c>
      <c r="I15" t="inlineStr">
        <is>
          <t>A04607G</t>
        </is>
      </c>
      <c r="J15" t="inlineStr">
        <is>
          <t>COMPUTER SYSTEM,DIG - AN/PLC-1</t>
        </is>
      </c>
      <c r="K15" t="inlineStr">
        <is>
          <t>IS</t>
        </is>
      </c>
      <c r="L15" t="inlineStr">
        <is>
          <t>EA</t>
        </is>
      </c>
      <c r="M15" t="inlineStr">
        <is>
          <t>N</t>
        </is>
      </c>
      <c r="N15" t="n">
        <v>0</v>
      </c>
      <c r="O15" t="n">
        <v>1</v>
      </c>
      <c r="P15" t="n">
        <v>1</v>
      </c>
    </row>
    <row r="16">
      <c r="B16" t="n">
        <v>12</v>
      </c>
      <c r="C16" t="inlineStr">
        <is>
          <t>21710</t>
        </is>
      </c>
      <c r="D16" t="inlineStr">
        <is>
          <t>21710</t>
        </is>
      </c>
      <c r="G16" t="inlineStr">
        <is>
          <t>M29111</t>
        </is>
      </c>
      <c r="H16" t="inlineStr">
        <is>
          <t>A0465</t>
        </is>
      </c>
      <c r="I16" t="inlineStr">
        <is>
          <t>A04657G</t>
        </is>
      </c>
      <c r="J16" t="inlineStr">
        <is>
          <t>RUGGEDIZED SERVER R - AN/PYC-100</t>
        </is>
      </c>
      <c r="K16" t="inlineStr">
        <is>
          <t>IS</t>
        </is>
      </c>
      <c r="L16" t="inlineStr">
        <is>
          <t>EA</t>
        </is>
      </c>
      <c r="M16" t="inlineStr">
        <is>
          <t>R</t>
        </is>
      </c>
      <c r="N16" t="n">
        <v>0</v>
      </c>
      <c r="O16" t="n">
        <v>1</v>
      </c>
      <c r="P16" t="n">
        <v>1</v>
      </c>
    </row>
    <row r="17">
      <c r="B17" t="n">
        <v>13</v>
      </c>
      <c r="C17" t="inlineStr">
        <is>
          <t>21710</t>
        </is>
      </c>
      <c r="D17" t="inlineStr">
        <is>
          <t>21710</t>
        </is>
      </c>
      <c r="G17" t="inlineStr">
        <is>
          <t>M29111</t>
        </is>
      </c>
      <c r="H17" t="inlineStr">
        <is>
          <t>A0874</t>
        </is>
      </c>
      <c r="I17" t="inlineStr">
        <is>
          <t>A08747G</t>
        </is>
      </c>
      <c r="J17" t="inlineStr">
        <is>
          <t>WORKSTATION,PORTABL - AN/PYQ-25</t>
        </is>
      </c>
      <c r="K17" t="inlineStr">
        <is>
          <t>IS</t>
        </is>
      </c>
      <c r="L17" t="inlineStr">
        <is>
          <t>EA</t>
        </is>
      </c>
      <c r="M17" t="inlineStr">
        <is>
          <t>R</t>
        </is>
      </c>
      <c r="N17" t="n">
        <v>0</v>
      </c>
      <c r="O17" t="n">
        <v>3</v>
      </c>
      <c r="P17" t="n">
        <v>3</v>
      </c>
    </row>
    <row r="18">
      <c r="B18" t="n">
        <v>14</v>
      </c>
      <c r="C18" t="inlineStr">
        <is>
          <t>21710</t>
        </is>
      </c>
      <c r="D18" t="inlineStr">
        <is>
          <t>21710</t>
        </is>
      </c>
      <c r="G18" t="inlineStr">
        <is>
          <t>M29111</t>
        </is>
      </c>
      <c r="H18" t="inlineStr">
        <is>
          <t>A2068</t>
        </is>
      </c>
      <c r="I18" t="inlineStr">
        <is>
          <t>A20687G</t>
        </is>
      </c>
      <c r="J18" t="inlineStr">
        <is>
          <t>RADIO SET - AN/PRC-117F(V)1C</t>
        </is>
      </c>
      <c r="K18" t="inlineStr">
        <is>
          <t>DP</t>
        </is>
      </c>
      <c r="L18" t="inlineStr">
        <is>
          <t>EA</t>
        </is>
      </c>
      <c r="M18" t="inlineStr">
        <is>
          <t>N</t>
        </is>
      </c>
      <c r="N18" t="n">
        <v>0</v>
      </c>
      <c r="O18" t="n">
        <v>2</v>
      </c>
      <c r="P18" t="n">
        <v>2</v>
      </c>
    </row>
    <row r="19">
      <c r="B19" t="n">
        <v>15</v>
      </c>
      <c r="C19" t="inlineStr">
        <is>
          <t>14326</t>
        </is>
      </c>
      <c r="D19" t="inlineStr">
        <is>
          <t>14326</t>
        </is>
      </c>
      <c r="G19" t="inlineStr">
        <is>
          <t>M29111</t>
        </is>
      </c>
      <c r="H19" t="inlineStr">
        <is>
          <t>A7525</t>
        </is>
      </c>
      <c r="I19" t="inlineStr">
        <is>
          <t>A75257G</t>
        </is>
      </c>
      <c r="J19" t="inlineStr">
        <is>
          <t>PROGRAM SET,APPLICA - 10020B0000</t>
        </is>
      </c>
      <c r="K19" t="inlineStr">
        <is>
          <t>IS</t>
        </is>
      </c>
      <c r="L19" t="inlineStr">
        <is>
          <t>EA</t>
        </is>
      </c>
      <c r="M19" t="inlineStr">
        <is>
          <t>N</t>
        </is>
      </c>
      <c r="N19" t="n">
        <v>0</v>
      </c>
      <c r="O19" t="n">
        <v>1</v>
      </c>
      <c r="P19" t="n">
        <v>1</v>
      </c>
    </row>
    <row r="20">
      <c r="B20" t="n">
        <v>16</v>
      </c>
      <c r="C20" t="inlineStr">
        <is>
          <t>61072</t>
        </is>
      </c>
      <c r="D20" t="inlineStr">
        <is>
          <t>61072</t>
        </is>
      </c>
      <c r="G20" t="inlineStr">
        <is>
          <t>M29111</t>
        </is>
      </c>
      <c r="H20" t="inlineStr">
        <is>
          <t>A9100</t>
        </is>
      </c>
      <c r="I20" t="inlineStr">
        <is>
          <t>A91007G</t>
        </is>
      </c>
      <c r="J20" t="inlineStr">
        <is>
          <t>COMPUTER SYSTEM,DIG - HP ELITEBOOK 645</t>
        </is>
      </c>
      <c r="K20" t="inlineStr">
        <is>
          <t>IS</t>
        </is>
      </c>
      <c r="L20" t="inlineStr">
        <is>
          <t>EA</t>
        </is>
      </c>
      <c r="M20" t="inlineStr">
        <is>
          <t>N</t>
        </is>
      </c>
      <c r="N20" t="n">
        <v>0</v>
      </c>
      <c r="O20" t="n">
        <v>10</v>
      </c>
      <c r="P20" t="n">
        <v>10</v>
      </c>
    </row>
    <row r="21">
      <c r="B21" t="n">
        <v>17</v>
      </c>
      <c r="C21" t="inlineStr">
        <is>
          <t>21710</t>
        </is>
      </c>
      <c r="D21" t="inlineStr">
        <is>
          <t>21710</t>
        </is>
      </c>
      <c r="G21" t="inlineStr">
        <is>
          <t>M29111</t>
        </is>
      </c>
      <c r="H21" t="inlineStr">
        <is>
          <t>B0002</t>
        </is>
      </c>
      <c r="I21" t="inlineStr">
        <is>
          <t>B00022B</t>
        </is>
      </c>
      <c r="J21" t="inlineStr">
        <is>
          <t>WIRE DETECTION,COMM - 71631</t>
        </is>
      </c>
      <c r="K21" t="inlineStr">
        <is>
          <t>IS</t>
        </is>
      </c>
      <c r="L21" t="inlineStr">
        <is>
          <t>EA</t>
        </is>
      </c>
      <c r="M21" t="inlineStr">
        <is>
          <t>N</t>
        </is>
      </c>
      <c r="N21" t="n">
        <v>0</v>
      </c>
      <c r="O21" t="n">
        <v>13</v>
      </c>
      <c r="P21" t="n">
        <v>13</v>
      </c>
    </row>
    <row r="22">
      <c r="B22" t="n">
        <v>18</v>
      </c>
      <c r="C22" t="inlineStr">
        <is>
          <t>21710</t>
        </is>
      </c>
      <c r="D22" t="inlineStr">
        <is>
          <t>21710</t>
        </is>
      </c>
      <c r="G22" t="inlineStr">
        <is>
          <t>M29111</t>
        </is>
      </c>
      <c r="H22" t="inlineStr">
        <is>
          <t>B0102</t>
        </is>
      </c>
      <c r="I22" t="inlineStr">
        <is>
          <t>B01022B</t>
        </is>
      </c>
      <c r="J22" t="inlineStr">
        <is>
          <t>DETECTING SET,MINE -  VMR2.5 (VMR2+)</t>
        </is>
      </c>
      <c r="K22" t="inlineStr">
        <is>
          <t>IS</t>
        </is>
      </c>
      <c r="L22" t="inlineStr">
        <is>
          <t>EA</t>
        </is>
      </c>
      <c r="M22" t="inlineStr">
        <is>
          <t>R</t>
        </is>
      </c>
      <c r="N22" t="n">
        <v>0</v>
      </c>
      <c r="O22" t="n">
        <v>2</v>
      </c>
      <c r="P22" t="n">
        <v>2</v>
      </c>
    </row>
    <row r="23">
      <c r="B23" t="n">
        <v>19</v>
      </c>
      <c r="C23" t="inlineStr">
        <is>
          <t>21730</t>
        </is>
      </c>
      <c r="D23" t="inlineStr">
        <is>
          <t>21730</t>
        </is>
      </c>
      <c r="G23" t="inlineStr">
        <is>
          <t>M29111</t>
        </is>
      </c>
      <c r="H23" t="inlineStr">
        <is>
          <t>B1320</t>
        </is>
      </c>
      <c r="I23" t="inlineStr">
        <is>
          <t>B13202E</t>
        </is>
      </c>
      <c r="J23" t="inlineStr">
        <is>
          <t>MINEFIELD MARKING S - SM5-4-9905S01</t>
        </is>
      </c>
      <c r="K23" t="inlineStr">
        <is>
          <t>IS</t>
        </is>
      </c>
      <c r="L23" t="inlineStr">
        <is>
          <t>SE</t>
        </is>
      </c>
      <c r="M23" t="inlineStr">
        <is>
          <t>N</t>
        </is>
      </c>
      <c r="N23" t="n">
        <v>0</v>
      </c>
      <c r="O23" t="n">
        <v>1</v>
      </c>
      <c r="P23" t="n">
        <v>1</v>
      </c>
    </row>
    <row r="24">
      <c r="B24" t="n">
        <v>20</v>
      </c>
      <c r="C24" t="inlineStr">
        <is>
          <t>21710</t>
        </is>
      </c>
      <c r="D24" t="inlineStr">
        <is>
          <t>21710</t>
        </is>
      </c>
      <c r="G24" t="inlineStr">
        <is>
          <t>M29111</t>
        </is>
      </c>
      <c r="H24" t="inlineStr">
        <is>
          <t>B2086</t>
        </is>
      </c>
      <c r="I24" t="inlineStr">
        <is>
          <t>B20867B</t>
        </is>
      </c>
      <c r="J24" t="inlineStr">
        <is>
          <t>TANK,WATER,MODULE - MWT166</t>
        </is>
      </c>
      <c r="K24" t="inlineStr">
        <is>
          <t>IS</t>
        </is>
      </c>
      <c r="L24" t="inlineStr">
        <is>
          <t>EA</t>
        </is>
      </c>
      <c r="M24" t="inlineStr">
        <is>
          <t>M</t>
        </is>
      </c>
      <c r="N24" t="n">
        <v>0</v>
      </c>
      <c r="O24" t="n">
        <v>2</v>
      </c>
      <c r="P24" t="n">
        <v>2</v>
      </c>
    </row>
    <row r="25">
      <c r="B25" t="n">
        <v>21</v>
      </c>
      <c r="C25" t="inlineStr">
        <is>
          <t>21730</t>
        </is>
      </c>
      <c r="D25" t="inlineStr">
        <is>
          <t>21730</t>
        </is>
      </c>
      <c r="G25" t="inlineStr">
        <is>
          <t>M29111</t>
        </is>
      </c>
      <c r="H25" t="inlineStr">
        <is>
          <t>B2210</t>
        </is>
      </c>
      <c r="I25" t="inlineStr">
        <is>
          <t>B22102E</t>
        </is>
      </c>
      <c r="J25" t="inlineStr">
        <is>
          <t>TOOL KIT,CARPENTER'</t>
        </is>
      </c>
      <c r="K25" t="inlineStr">
        <is>
          <t>IS</t>
        </is>
      </c>
      <c r="L25" t="inlineStr">
        <is>
          <t>KT</t>
        </is>
      </c>
      <c r="M25" t="inlineStr">
        <is>
          <t>N</t>
        </is>
      </c>
      <c r="N25" t="n">
        <v>0</v>
      </c>
      <c r="O25" t="n">
        <v>1</v>
      </c>
      <c r="P25" t="n">
        <v>1</v>
      </c>
    </row>
    <row r="26">
      <c r="B26" t="n">
        <v>22</v>
      </c>
      <c r="C26" t="inlineStr">
        <is>
          <t>44112</t>
        </is>
      </c>
      <c r="D26" t="inlineStr">
        <is>
          <t>44112</t>
        </is>
      </c>
      <c r="G26" t="inlineStr">
        <is>
          <t>M29111</t>
        </is>
      </c>
      <c r="H26" t="inlineStr">
        <is>
          <t>C0010</t>
        </is>
      </c>
      <c r="I26" t="inlineStr">
        <is>
          <t>C00102F</t>
        </is>
      </c>
      <c r="J26" t="inlineStr">
        <is>
          <t>CARRIER,SMALL ARMS</t>
        </is>
      </c>
      <c r="K26" t="inlineStr">
        <is>
          <t>IS</t>
        </is>
      </c>
      <c r="L26" t="inlineStr">
        <is>
          <t>EA</t>
        </is>
      </c>
      <c r="M26" t="inlineStr">
        <is>
          <t>N</t>
        </is>
      </c>
      <c r="N26" t="n">
        <v>85</v>
      </c>
      <c r="O26" t="n">
        <v>0</v>
      </c>
      <c r="P26" t="n">
        <v>85</v>
      </c>
    </row>
    <row r="27">
      <c r="B27" t="n">
        <v>23</v>
      </c>
      <c r="C27" t="inlineStr">
        <is>
          <t>44112</t>
        </is>
      </c>
      <c r="D27" t="inlineStr">
        <is>
          <t>44112</t>
        </is>
      </c>
      <c r="G27" t="inlineStr">
        <is>
          <t>M29111</t>
        </is>
      </c>
      <c r="H27" t="inlineStr">
        <is>
          <t>C0015</t>
        </is>
      </c>
      <c r="I27" t="inlineStr">
        <is>
          <t>C00152E</t>
        </is>
      </c>
      <c r="J27" t="inlineStr">
        <is>
          <t>INSERT,SMALL ARMS P - 95662</t>
        </is>
      </c>
      <c r="K27" t="inlineStr">
        <is>
          <t>IS</t>
        </is>
      </c>
      <c r="L27" t="inlineStr">
        <is>
          <t>EA</t>
        </is>
      </c>
      <c r="M27" t="inlineStr">
        <is>
          <t>N</t>
        </is>
      </c>
      <c r="N27" t="n">
        <v>170</v>
      </c>
      <c r="O27" t="n">
        <v>0</v>
      </c>
      <c r="P27" t="n">
        <v>170</v>
      </c>
    </row>
    <row r="28">
      <c r="B28" t="n">
        <v>24</v>
      </c>
      <c r="C28" t="inlineStr">
        <is>
          <t>44112</t>
        </is>
      </c>
      <c r="D28" t="inlineStr">
        <is>
          <t>44112</t>
        </is>
      </c>
      <c r="G28" t="inlineStr">
        <is>
          <t>M29111</t>
        </is>
      </c>
      <c r="H28" t="inlineStr">
        <is>
          <t>C0029</t>
        </is>
      </c>
      <c r="I28" t="inlineStr">
        <is>
          <t>C00292F</t>
        </is>
      </c>
      <c r="J28" t="inlineStr">
        <is>
          <t>DRAWERS,COLD WEATHE - FRGFDR</t>
        </is>
      </c>
      <c r="K28" t="inlineStr">
        <is>
          <t>IS</t>
        </is>
      </c>
      <c r="L28" t="inlineStr">
        <is>
          <t>PR</t>
        </is>
      </c>
      <c r="M28" t="inlineStr">
        <is>
          <t>N</t>
        </is>
      </c>
      <c r="N28" t="n">
        <v>85</v>
      </c>
      <c r="O28" t="n">
        <v>0</v>
      </c>
      <c r="P28" t="n">
        <v>85</v>
      </c>
    </row>
    <row r="29">
      <c r="B29" t="n">
        <v>25</v>
      </c>
      <c r="C29" t="inlineStr">
        <is>
          <t>44112</t>
        </is>
      </c>
      <c r="D29" t="inlineStr">
        <is>
          <t>44112</t>
        </is>
      </c>
      <c r="G29" t="inlineStr">
        <is>
          <t>M29111</t>
        </is>
      </c>
      <c r="H29" t="inlineStr">
        <is>
          <t>C0040</t>
        </is>
      </c>
      <c r="I29" t="inlineStr">
        <is>
          <t>C00402E</t>
        </is>
      </c>
      <c r="J29" t="inlineStr">
        <is>
          <t>PAD,KNEE - MEDIUM</t>
        </is>
      </c>
      <c r="K29" t="inlineStr">
        <is>
          <t>IS</t>
        </is>
      </c>
      <c r="L29" t="inlineStr"/>
      <c r="M29" t="inlineStr">
        <is>
          <t>N</t>
        </is>
      </c>
      <c r="N29" t="n">
        <v>21</v>
      </c>
      <c r="O29" t="n">
        <v>0</v>
      </c>
      <c r="P29" t="n">
        <v>21</v>
      </c>
    </row>
    <row r="30">
      <c r="B30" t="n">
        <v>26</v>
      </c>
      <c r="C30" t="inlineStr">
        <is>
          <t>44112</t>
        </is>
      </c>
      <c r="D30" t="inlineStr">
        <is>
          <t>44112</t>
        </is>
      </c>
      <c r="G30" t="inlineStr">
        <is>
          <t>M29111</t>
        </is>
      </c>
      <c r="H30" t="inlineStr">
        <is>
          <t>C0041</t>
        </is>
      </c>
      <c r="I30" t="inlineStr">
        <is>
          <t>C00412E</t>
        </is>
      </c>
      <c r="J30" t="inlineStr">
        <is>
          <t>ELBOW PADS,EXTERNAL - SMALL</t>
        </is>
      </c>
      <c r="K30" t="inlineStr">
        <is>
          <t>IS</t>
        </is>
      </c>
      <c r="L30" t="inlineStr"/>
      <c r="M30" t="inlineStr">
        <is>
          <t>N</t>
        </is>
      </c>
      <c r="N30" t="n">
        <v>21</v>
      </c>
      <c r="O30" t="n">
        <v>0</v>
      </c>
      <c r="P30" t="n">
        <v>21</v>
      </c>
    </row>
    <row r="31">
      <c r="B31" t="n">
        <v>27</v>
      </c>
      <c r="C31" t="inlineStr">
        <is>
          <t>44112</t>
        </is>
      </c>
      <c r="D31" t="inlineStr">
        <is>
          <t>44112</t>
        </is>
      </c>
      <c r="G31" t="inlineStr">
        <is>
          <t>M29111</t>
        </is>
      </c>
      <c r="H31" t="inlineStr">
        <is>
          <t>C0042</t>
        </is>
      </c>
      <c r="I31" t="inlineStr">
        <is>
          <t>C00427B</t>
        </is>
      </c>
      <c r="J31" t="inlineStr">
        <is>
          <t>RECONNAISSANCE SYST - 969-003</t>
        </is>
      </c>
      <c r="K31" t="inlineStr">
        <is>
          <t>IS</t>
        </is>
      </c>
      <c r="L31" t="inlineStr">
        <is>
          <t>EA</t>
        </is>
      </c>
      <c r="M31" t="inlineStr">
        <is>
          <t>R</t>
        </is>
      </c>
      <c r="N31" t="n">
        <v>0</v>
      </c>
      <c r="O31" t="n">
        <v>1</v>
      </c>
      <c r="P31" t="n">
        <v>1</v>
      </c>
    </row>
    <row r="32">
      <c r="B32" t="n">
        <v>28</v>
      </c>
      <c r="C32" t="inlineStr">
        <is>
          <t>44112</t>
        </is>
      </c>
      <c r="D32" t="inlineStr">
        <is>
          <t>44112</t>
        </is>
      </c>
      <c r="G32" t="inlineStr">
        <is>
          <t>M29111</t>
        </is>
      </c>
      <c r="H32" t="inlineStr">
        <is>
          <t>C0061</t>
        </is>
      </c>
      <c r="I32" t="inlineStr">
        <is>
          <t>C00612F</t>
        </is>
      </c>
      <c r="J32" t="inlineStr">
        <is>
          <t>CARRIER,SMALL ARMS - PC GEN II</t>
        </is>
      </c>
      <c r="K32" t="inlineStr">
        <is>
          <t>IS</t>
        </is>
      </c>
      <c r="L32" t="inlineStr">
        <is>
          <t>EA</t>
        </is>
      </c>
      <c r="M32" t="inlineStr">
        <is>
          <t>N</t>
        </is>
      </c>
      <c r="N32" t="n">
        <v>85</v>
      </c>
      <c r="O32" t="n">
        <v>0</v>
      </c>
      <c r="P32" t="n">
        <v>85</v>
      </c>
    </row>
    <row r="33">
      <c r="B33" t="n">
        <v>29</v>
      </c>
      <c r="C33" t="inlineStr">
        <is>
          <t>44112</t>
        </is>
      </c>
      <c r="D33" t="inlineStr">
        <is>
          <t>44112</t>
        </is>
      </c>
      <c r="G33" t="inlineStr">
        <is>
          <t>M29111</t>
        </is>
      </c>
      <c r="H33" t="inlineStr">
        <is>
          <t>C0062</t>
        </is>
      </c>
      <c r="I33" t="inlineStr">
        <is>
          <t>C00622F</t>
        </is>
      </c>
      <c r="J33" t="inlineStr">
        <is>
          <t>COAT,CHEMICAL PROTE - UNIVERSAL COAT</t>
        </is>
      </c>
      <c r="K33" t="inlineStr">
        <is>
          <t>IS</t>
        </is>
      </c>
      <c r="L33" t="inlineStr">
        <is>
          <t>EA</t>
        </is>
      </c>
      <c r="M33" t="inlineStr">
        <is>
          <t>N</t>
        </is>
      </c>
      <c r="N33" t="n">
        <v>170</v>
      </c>
      <c r="O33" t="n">
        <v>0</v>
      </c>
      <c r="P33" t="n">
        <v>170</v>
      </c>
    </row>
    <row r="34">
      <c r="B34" t="n">
        <v>30</v>
      </c>
      <c r="C34" t="inlineStr">
        <is>
          <t>44112</t>
        </is>
      </c>
      <c r="D34" t="inlineStr">
        <is>
          <t>44112</t>
        </is>
      </c>
      <c r="G34" t="inlineStr">
        <is>
          <t>M29111</t>
        </is>
      </c>
      <c r="H34" t="inlineStr">
        <is>
          <t>C0063</t>
        </is>
      </c>
      <c r="I34" t="inlineStr">
        <is>
          <t>C00632F</t>
        </is>
      </c>
      <c r="J34" t="inlineStr">
        <is>
          <t>TROUSERS,CHEMICAL P - UNIVERSAL TROU</t>
        </is>
      </c>
      <c r="K34" t="inlineStr">
        <is>
          <t>IS</t>
        </is>
      </c>
      <c r="L34" t="inlineStr">
        <is>
          <t>PR</t>
        </is>
      </c>
      <c r="M34" t="inlineStr">
        <is>
          <t>N</t>
        </is>
      </c>
      <c r="N34" t="n">
        <v>170</v>
      </c>
      <c r="O34" t="n">
        <v>0</v>
      </c>
      <c r="P34" t="n">
        <v>170</v>
      </c>
    </row>
    <row r="35">
      <c r="B35" t="n">
        <v>31</v>
      </c>
      <c r="C35" t="inlineStr">
        <is>
          <t>44112</t>
        </is>
      </c>
      <c r="D35" t="inlineStr">
        <is>
          <t>44112</t>
        </is>
      </c>
      <c r="G35" t="inlineStr">
        <is>
          <t>M29111</t>
        </is>
      </c>
      <c r="H35" t="inlineStr">
        <is>
          <t>C0074</t>
        </is>
      </c>
      <c r="I35" t="inlineStr">
        <is>
          <t>C00742E</t>
        </is>
      </c>
      <c r="J35" t="inlineStr">
        <is>
          <t>FLASHLIGHT - 14032</t>
        </is>
      </c>
      <c r="K35" t="inlineStr">
        <is>
          <t>IS</t>
        </is>
      </c>
      <c r="L35" t="inlineStr">
        <is>
          <t>EA</t>
        </is>
      </c>
      <c r="M35" t="inlineStr">
        <is>
          <t>N</t>
        </is>
      </c>
      <c r="N35" t="n">
        <v>85</v>
      </c>
      <c r="O35" t="n">
        <v>0</v>
      </c>
      <c r="P35" t="n">
        <v>85</v>
      </c>
    </row>
    <row r="36">
      <c r="B36" t="n">
        <v>32</v>
      </c>
      <c r="C36" t="inlineStr">
        <is>
          <t>44112</t>
        </is>
      </c>
      <c r="D36" t="inlineStr">
        <is>
          <t>44112</t>
        </is>
      </c>
      <c r="G36" t="inlineStr">
        <is>
          <t>M29111</t>
        </is>
      </c>
      <c r="H36" t="inlineStr">
        <is>
          <t>C0077</t>
        </is>
      </c>
      <c r="I36" t="inlineStr">
        <is>
          <t>C00772E</t>
        </is>
      </c>
      <c r="J36" t="inlineStr">
        <is>
          <t>COLLAPSIBLE JMIC 3. - TAN</t>
        </is>
      </c>
      <c r="K36" t="inlineStr">
        <is>
          <t>IS</t>
        </is>
      </c>
      <c r="L36" t="inlineStr">
        <is>
          <t>EA</t>
        </is>
      </c>
      <c r="M36" t="inlineStr">
        <is>
          <t>N</t>
        </is>
      </c>
      <c r="N36" t="n">
        <v>0</v>
      </c>
      <c r="O36" t="n">
        <v>25</v>
      </c>
      <c r="P36" t="n">
        <v>25</v>
      </c>
    </row>
    <row r="37">
      <c r="B37" t="n">
        <v>33</v>
      </c>
      <c r="C37" t="inlineStr">
        <is>
          <t>44112</t>
        </is>
      </c>
      <c r="D37" t="inlineStr">
        <is>
          <t>44112</t>
        </is>
      </c>
      <c r="G37" t="inlineStr">
        <is>
          <t>M29111</t>
        </is>
      </c>
      <c r="H37" t="inlineStr">
        <is>
          <t>C0083</t>
        </is>
      </c>
      <c r="I37" t="inlineStr">
        <is>
          <t>C00832E</t>
        </is>
      </c>
      <c r="J37" t="inlineStr">
        <is>
          <t>STRAP CUTTER,RESCUE - 1431</t>
        </is>
      </c>
      <c r="K37" t="inlineStr">
        <is>
          <t>IS</t>
        </is>
      </c>
      <c r="L37" t="inlineStr">
        <is>
          <t>EA</t>
        </is>
      </c>
      <c r="M37" t="inlineStr">
        <is>
          <t>N</t>
        </is>
      </c>
      <c r="N37" t="n">
        <v>85</v>
      </c>
      <c r="O37" t="n">
        <v>0</v>
      </c>
      <c r="P37" t="n">
        <v>85</v>
      </c>
    </row>
    <row r="38">
      <c r="B38" t="n">
        <v>34</v>
      </c>
      <c r="C38" t="inlineStr">
        <is>
          <t>44112</t>
        </is>
      </c>
      <c r="D38" t="inlineStr">
        <is>
          <t>44112</t>
        </is>
      </c>
      <c r="G38" t="inlineStr">
        <is>
          <t>M29111</t>
        </is>
      </c>
      <c r="H38" t="inlineStr">
        <is>
          <t>C0114</t>
        </is>
      </c>
      <c r="I38" t="inlineStr">
        <is>
          <t>C01142F</t>
        </is>
      </c>
      <c r="J38" t="inlineStr">
        <is>
          <t>HEADSET,ELECTRICAL - MT20H682FB-09 CY</t>
        </is>
      </c>
      <c r="K38" t="inlineStr">
        <is>
          <t>IS</t>
        </is>
      </c>
      <c r="L38" t="inlineStr">
        <is>
          <t>EA</t>
        </is>
      </c>
      <c r="M38" t="inlineStr">
        <is>
          <t>N</t>
        </is>
      </c>
      <c r="N38" t="n">
        <v>0</v>
      </c>
      <c r="O38" t="n">
        <v>13</v>
      </c>
      <c r="P38" t="n">
        <v>13</v>
      </c>
    </row>
    <row r="39">
      <c r="B39" t="n">
        <v>35</v>
      </c>
      <c r="C39" t="inlineStr">
        <is>
          <t>44112</t>
        </is>
      </c>
      <c r="D39" t="inlineStr">
        <is>
          <t>44112</t>
        </is>
      </c>
      <c r="G39" t="inlineStr">
        <is>
          <t>M29111</t>
        </is>
      </c>
      <c r="H39" t="inlineStr">
        <is>
          <t>C0115</t>
        </is>
      </c>
      <c r="I39" t="inlineStr">
        <is>
          <t>C01152F</t>
        </is>
      </c>
      <c r="J39" t="inlineStr">
        <is>
          <t>DRAWERS,COLD WEATHE - FRDRCW</t>
        </is>
      </c>
      <c r="K39" t="inlineStr">
        <is>
          <t>IS</t>
        </is>
      </c>
      <c r="L39" t="inlineStr">
        <is>
          <t>PR</t>
        </is>
      </c>
      <c r="M39" t="inlineStr">
        <is>
          <t>N</t>
        </is>
      </c>
      <c r="N39" t="n">
        <v>170</v>
      </c>
      <c r="O39" t="n">
        <v>0</v>
      </c>
      <c r="P39" t="n">
        <v>170</v>
      </c>
    </row>
    <row r="40">
      <c r="B40" t="n">
        <v>36</v>
      </c>
      <c r="C40" t="inlineStr">
        <is>
          <t>44112</t>
        </is>
      </c>
      <c r="D40" t="inlineStr">
        <is>
          <t>44112</t>
        </is>
      </c>
      <c r="G40" t="inlineStr">
        <is>
          <t>M29111</t>
        </is>
      </c>
      <c r="H40" t="inlineStr">
        <is>
          <t>C0116</t>
        </is>
      </c>
      <c r="I40" t="inlineStr">
        <is>
          <t>C01162F</t>
        </is>
      </c>
      <c r="J40" t="inlineStr">
        <is>
          <t>UNDERSHIRT,COLD WEA - FRUSHCW</t>
        </is>
      </c>
      <c r="K40" t="inlineStr">
        <is>
          <t>IS</t>
        </is>
      </c>
      <c r="L40" t="inlineStr">
        <is>
          <t>EA</t>
        </is>
      </c>
      <c r="M40" t="inlineStr">
        <is>
          <t>N</t>
        </is>
      </c>
      <c r="N40" t="n">
        <v>170</v>
      </c>
      <c r="O40" t="n">
        <v>0</v>
      </c>
      <c r="P40" t="n">
        <v>170</v>
      </c>
    </row>
    <row r="41">
      <c r="B41" t="n">
        <v>37</v>
      </c>
      <c r="C41" t="inlineStr">
        <is>
          <t>44112</t>
        </is>
      </c>
      <c r="D41" t="inlineStr">
        <is>
          <t>44112</t>
        </is>
      </c>
      <c r="G41" t="inlineStr">
        <is>
          <t>M29111</t>
        </is>
      </c>
      <c r="H41" t="inlineStr">
        <is>
          <t>C0117</t>
        </is>
      </c>
      <c r="I41" t="inlineStr">
        <is>
          <t>C01172F</t>
        </is>
      </c>
      <c r="J41" t="inlineStr">
        <is>
          <t>SHIRT,COLD WEATHER - FRGFP07</t>
        </is>
      </c>
      <c r="K41" t="inlineStr">
        <is>
          <t>IS</t>
        </is>
      </c>
      <c r="L41" t="inlineStr">
        <is>
          <t>EA</t>
        </is>
      </c>
      <c r="M41" t="inlineStr">
        <is>
          <t>N</t>
        </is>
      </c>
      <c r="N41" t="n">
        <v>85</v>
      </c>
      <c r="O41" t="n">
        <v>0</v>
      </c>
      <c r="P41" t="n">
        <v>85</v>
      </c>
    </row>
    <row r="42">
      <c r="B42" t="n">
        <v>38</v>
      </c>
      <c r="C42" t="inlineStr">
        <is>
          <t>44112</t>
        </is>
      </c>
      <c r="D42" t="inlineStr">
        <is>
          <t>44112</t>
        </is>
      </c>
      <c r="G42" t="inlineStr">
        <is>
          <t>M29111</t>
        </is>
      </c>
      <c r="H42" t="inlineStr">
        <is>
          <t>C0120</t>
        </is>
      </c>
      <c r="I42" t="inlineStr">
        <is>
          <t>C01202E</t>
        </is>
      </c>
      <c r="J42" t="inlineStr">
        <is>
          <t>HELMET,GROUND TROOP - ECH</t>
        </is>
      </c>
      <c r="K42" t="inlineStr">
        <is>
          <t>IS</t>
        </is>
      </c>
      <c r="L42" t="inlineStr">
        <is>
          <t>EA</t>
        </is>
      </c>
      <c r="M42" t="inlineStr">
        <is>
          <t>N</t>
        </is>
      </c>
      <c r="N42" t="n">
        <v>85</v>
      </c>
      <c r="O42" t="n">
        <v>0</v>
      </c>
      <c r="P42" t="n">
        <v>85</v>
      </c>
    </row>
    <row r="43">
      <c r="B43" t="n">
        <v>39</v>
      </c>
      <c r="C43" t="inlineStr">
        <is>
          <t>44112</t>
        </is>
      </c>
      <c r="D43" t="inlineStr">
        <is>
          <t>44112</t>
        </is>
      </c>
      <c r="G43" t="inlineStr">
        <is>
          <t>M29111</t>
        </is>
      </c>
      <c r="H43" t="inlineStr">
        <is>
          <t>C0132</t>
        </is>
      </c>
      <c r="I43" t="inlineStr">
        <is>
          <t>C01322B</t>
        </is>
      </c>
      <c r="J43" t="inlineStr">
        <is>
          <t>PAPER,CHEMICAL AGEN - M8</t>
        </is>
      </c>
      <c r="K43" t="inlineStr">
        <is>
          <t>IS</t>
        </is>
      </c>
      <c r="L43" t="inlineStr">
        <is>
          <t>BK</t>
        </is>
      </c>
      <c r="M43" t="inlineStr">
        <is>
          <t>N</t>
        </is>
      </c>
      <c r="N43" t="n">
        <v>85</v>
      </c>
      <c r="O43" t="n">
        <v>0</v>
      </c>
      <c r="P43" t="n">
        <v>85</v>
      </c>
    </row>
    <row r="44">
      <c r="B44" t="n">
        <v>40</v>
      </c>
      <c r="C44" t="inlineStr">
        <is>
          <t>44112</t>
        </is>
      </c>
      <c r="D44" t="inlineStr">
        <is>
          <t>44112</t>
        </is>
      </c>
      <c r="G44" t="inlineStr">
        <is>
          <t>M29111</t>
        </is>
      </c>
      <c r="H44" t="inlineStr">
        <is>
          <t>C0135</t>
        </is>
      </c>
      <c r="I44" t="inlineStr">
        <is>
          <t>C01352F</t>
        </is>
      </c>
      <c r="J44" t="inlineStr">
        <is>
          <t>BOOTS,COLD WEATHER - C/W RAT</t>
        </is>
      </c>
      <c r="K44" t="inlineStr">
        <is>
          <t>IS</t>
        </is>
      </c>
      <c r="L44" t="inlineStr">
        <is>
          <t>EA</t>
        </is>
      </c>
      <c r="M44" t="inlineStr">
        <is>
          <t>N</t>
        </is>
      </c>
      <c r="N44" t="n">
        <v>85</v>
      </c>
      <c r="O44" t="n">
        <v>0</v>
      </c>
      <c r="P44" t="n">
        <v>85</v>
      </c>
    </row>
    <row r="45">
      <c r="B45" t="n">
        <v>41</v>
      </c>
      <c r="C45" t="inlineStr">
        <is>
          <t>44112</t>
        </is>
      </c>
      <c r="D45" t="inlineStr">
        <is>
          <t>44112</t>
        </is>
      </c>
      <c r="G45" t="inlineStr">
        <is>
          <t>M29111</t>
        </is>
      </c>
      <c r="H45" t="inlineStr">
        <is>
          <t>C0136</t>
        </is>
      </c>
      <c r="I45" t="inlineStr">
        <is>
          <t>C01362F</t>
        </is>
      </c>
      <c r="J45" t="inlineStr">
        <is>
          <t>BOOTS,HOT WEATHER - H/W RAT</t>
        </is>
      </c>
      <c r="K45" t="inlineStr">
        <is>
          <t>IS</t>
        </is>
      </c>
      <c r="L45" t="inlineStr">
        <is>
          <t>EA</t>
        </is>
      </c>
      <c r="M45" t="inlineStr">
        <is>
          <t>N</t>
        </is>
      </c>
      <c r="N45" t="n">
        <v>85</v>
      </c>
      <c r="O45" t="n">
        <v>0</v>
      </c>
      <c r="P45" t="n">
        <v>85</v>
      </c>
    </row>
    <row r="46">
      <c r="B46" t="n">
        <v>42</v>
      </c>
      <c r="C46" t="inlineStr">
        <is>
          <t>44112</t>
        </is>
      </c>
      <c r="D46" t="inlineStr">
        <is>
          <t>44112</t>
        </is>
      </c>
      <c r="G46" t="inlineStr">
        <is>
          <t>M29111</t>
        </is>
      </c>
      <c r="H46" t="inlineStr">
        <is>
          <t>C0137</t>
        </is>
      </c>
      <c r="I46" t="inlineStr">
        <is>
          <t>C01372F</t>
        </is>
      </c>
      <c r="J46" t="inlineStr">
        <is>
          <t>JACKET,COMBAT - N/A</t>
        </is>
      </c>
      <c r="K46" t="inlineStr">
        <is>
          <t>IS</t>
        </is>
      </c>
      <c r="L46" t="inlineStr">
        <is>
          <t>EA</t>
        </is>
      </c>
      <c r="M46" t="inlineStr">
        <is>
          <t>N</t>
        </is>
      </c>
      <c r="N46" t="n">
        <v>85</v>
      </c>
      <c r="O46" t="n">
        <v>0</v>
      </c>
      <c r="P46" t="n">
        <v>85</v>
      </c>
    </row>
    <row r="47">
      <c r="B47" t="n">
        <v>43</v>
      </c>
      <c r="C47" t="inlineStr">
        <is>
          <t>44112</t>
        </is>
      </c>
      <c r="D47" t="inlineStr">
        <is>
          <t>44112</t>
        </is>
      </c>
      <c r="G47" t="inlineStr">
        <is>
          <t>M29111</t>
        </is>
      </c>
      <c r="H47" t="inlineStr">
        <is>
          <t>C0169</t>
        </is>
      </c>
      <c r="I47" t="inlineStr">
        <is>
          <t>C01692F</t>
        </is>
      </c>
      <c r="J47" t="inlineStr">
        <is>
          <t>MAT,SLEEPING - ISM</t>
        </is>
      </c>
      <c r="K47" t="inlineStr">
        <is>
          <t>IS</t>
        </is>
      </c>
      <c r="L47" t="inlineStr">
        <is>
          <t>EA</t>
        </is>
      </c>
      <c r="M47" t="inlineStr">
        <is>
          <t>N</t>
        </is>
      </c>
      <c r="N47" t="n">
        <v>85</v>
      </c>
      <c r="O47" t="n">
        <v>0</v>
      </c>
      <c r="P47" t="n">
        <v>85</v>
      </c>
    </row>
    <row r="48">
      <c r="B48" t="n">
        <v>44</v>
      </c>
      <c r="C48" t="inlineStr">
        <is>
          <t>44112</t>
        </is>
      </c>
      <c r="D48" t="inlineStr">
        <is>
          <t>44112</t>
        </is>
      </c>
      <c r="G48" t="inlineStr">
        <is>
          <t>M29111</t>
        </is>
      </c>
      <c r="H48" t="inlineStr">
        <is>
          <t>C0170</t>
        </is>
      </c>
      <c r="I48" t="inlineStr">
        <is>
          <t>C01702F</t>
        </is>
      </c>
      <c r="J48" t="inlineStr">
        <is>
          <t>LINER,WET WEATHER P - N/A</t>
        </is>
      </c>
      <c r="K48" t="inlineStr">
        <is>
          <t>IS</t>
        </is>
      </c>
      <c r="L48" t="inlineStr">
        <is>
          <t>EA</t>
        </is>
      </c>
      <c r="M48" t="inlineStr">
        <is>
          <t>N</t>
        </is>
      </c>
      <c r="N48" t="n">
        <v>85</v>
      </c>
      <c r="O48" t="n">
        <v>0</v>
      </c>
      <c r="P48" t="n">
        <v>85</v>
      </c>
    </row>
    <row r="49">
      <c r="B49" t="n">
        <v>45</v>
      </c>
      <c r="C49" t="inlineStr">
        <is>
          <t>44112</t>
        </is>
      </c>
      <c r="D49" t="inlineStr">
        <is>
          <t>44112</t>
        </is>
      </c>
      <c r="G49" t="inlineStr">
        <is>
          <t>M29111</t>
        </is>
      </c>
      <c r="H49" t="inlineStr">
        <is>
          <t>C0180</t>
        </is>
      </c>
      <c r="I49" t="inlineStr">
        <is>
          <t>C01802F</t>
        </is>
      </c>
      <c r="J49" t="inlineStr">
        <is>
          <t>BELT,INDIVIDUAL EQU - N/A</t>
        </is>
      </c>
      <c r="K49" t="inlineStr">
        <is>
          <t>IS</t>
        </is>
      </c>
      <c r="L49" t="inlineStr">
        <is>
          <t>EA</t>
        </is>
      </c>
      <c r="M49" t="inlineStr">
        <is>
          <t>N</t>
        </is>
      </c>
      <c r="N49" t="n">
        <v>85</v>
      </c>
      <c r="O49" t="n">
        <v>0</v>
      </c>
      <c r="P49" t="n">
        <v>85</v>
      </c>
    </row>
    <row r="50">
      <c r="B50" t="n">
        <v>46</v>
      </c>
      <c r="C50" t="inlineStr">
        <is>
          <t>44112</t>
        </is>
      </c>
      <c r="D50" t="inlineStr">
        <is>
          <t>44112</t>
        </is>
      </c>
      <c r="G50" t="inlineStr">
        <is>
          <t>M29111</t>
        </is>
      </c>
      <c r="H50" t="inlineStr">
        <is>
          <t>C0187</t>
        </is>
      </c>
      <c r="I50" t="inlineStr">
        <is>
          <t>C01877B</t>
        </is>
      </c>
      <c r="J50" t="inlineStr">
        <is>
          <t>SHIPPING AND STORAG - CMCI377</t>
        </is>
      </c>
      <c r="K50" t="inlineStr">
        <is>
          <t>IS</t>
        </is>
      </c>
      <c r="L50" t="inlineStr">
        <is>
          <t>EA</t>
        </is>
      </c>
      <c r="M50" t="inlineStr">
        <is>
          <t>N</t>
        </is>
      </c>
      <c r="N50" t="n">
        <v>0</v>
      </c>
      <c r="O50" t="n">
        <v>2</v>
      </c>
      <c r="P50" t="n">
        <v>2</v>
      </c>
    </row>
    <row r="51">
      <c r="B51" t="n">
        <v>47</v>
      </c>
      <c r="C51" t="inlineStr">
        <is>
          <t>44112</t>
        </is>
      </c>
      <c r="D51" t="inlineStr">
        <is>
          <t>44112</t>
        </is>
      </c>
      <c r="G51" t="inlineStr">
        <is>
          <t>M29111</t>
        </is>
      </c>
      <c r="H51" t="inlineStr">
        <is>
          <t>C0188</t>
        </is>
      </c>
      <c r="I51" t="inlineStr">
        <is>
          <t>C01882F</t>
        </is>
      </c>
      <c r="J51" t="inlineStr">
        <is>
          <t>No Item Name Availa - N/A</t>
        </is>
      </c>
      <c r="K51" t="inlineStr">
        <is>
          <t>IS</t>
        </is>
      </c>
      <c r="L51" t="inlineStr"/>
      <c r="M51" t="inlineStr">
        <is>
          <t>N</t>
        </is>
      </c>
      <c r="N51" t="n">
        <v>0</v>
      </c>
      <c r="O51" t="n">
        <v>0</v>
      </c>
      <c r="P51" t="n">
        <v>0</v>
      </c>
    </row>
    <row r="52">
      <c r="B52" t="n">
        <v>48</v>
      </c>
      <c r="C52" t="inlineStr">
        <is>
          <t>44112</t>
        </is>
      </c>
      <c r="D52" t="inlineStr">
        <is>
          <t>44112</t>
        </is>
      </c>
      <c r="G52" t="inlineStr">
        <is>
          <t>M29111</t>
        </is>
      </c>
      <c r="H52" t="inlineStr">
        <is>
          <t>C0189</t>
        </is>
      </c>
      <c r="I52" t="inlineStr">
        <is>
          <t>C01892F</t>
        </is>
      </c>
      <c r="J52" t="inlineStr">
        <is>
          <t>POUCH,MONOCULAR NIG - N/A</t>
        </is>
      </c>
      <c r="K52" t="inlineStr">
        <is>
          <t>IS</t>
        </is>
      </c>
      <c r="L52" t="inlineStr">
        <is>
          <t>EA</t>
        </is>
      </c>
      <c r="M52" t="inlineStr">
        <is>
          <t>N</t>
        </is>
      </c>
      <c r="N52" t="n">
        <v>44</v>
      </c>
      <c r="O52" t="n">
        <v>0</v>
      </c>
      <c r="P52" t="n">
        <v>44</v>
      </c>
    </row>
    <row r="53">
      <c r="B53" t="n">
        <v>49</v>
      </c>
      <c r="C53" t="inlineStr">
        <is>
          <t>44112</t>
        </is>
      </c>
      <c r="D53" t="inlineStr">
        <is>
          <t>44112</t>
        </is>
      </c>
      <c r="G53" t="inlineStr">
        <is>
          <t>M29111</t>
        </is>
      </c>
      <c r="H53" t="inlineStr">
        <is>
          <t>C0190</t>
        </is>
      </c>
      <c r="I53" t="inlineStr">
        <is>
          <t>C01902F</t>
        </is>
      </c>
      <c r="J53" t="inlineStr">
        <is>
          <t>POUCH,TACTICAL HAND - N/A</t>
        </is>
      </c>
      <c r="K53" t="inlineStr">
        <is>
          <t>IS</t>
        </is>
      </c>
      <c r="L53" t="inlineStr">
        <is>
          <t>EA</t>
        </is>
      </c>
      <c r="M53" t="inlineStr">
        <is>
          <t>N</t>
        </is>
      </c>
      <c r="N53" t="n">
        <v>0</v>
      </c>
      <c r="O53" t="n">
        <v>0</v>
      </c>
      <c r="P53" t="n">
        <v>0</v>
      </c>
    </row>
    <row r="54">
      <c r="B54" t="n">
        <v>50</v>
      </c>
      <c r="C54" t="inlineStr">
        <is>
          <t>44112</t>
        </is>
      </c>
      <c r="D54" t="inlineStr">
        <is>
          <t>44112</t>
        </is>
      </c>
      <c r="G54" t="inlineStr">
        <is>
          <t>M29111</t>
        </is>
      </c>
      <c r="H54" t="inlineStr">
        <is>
          <t>C0191</t>
        </is>
      </c>
      <c r="I54" t="inlineStr">
        <is>
          <t>C01912F</t>
        </is>
      </c>
      <c r="J54" t="inlineStr">
        <is>
          <t>CANTEEN,GENERAL PUR - 4015CB</t>
        </is>
      </c>
      <c r="K54" t="inlineStr">
        <is>
          <t>IS</t>
        </is>
      </c>
      <c r="L54" t="inlineStr">
        <is>
          <t>EA</t>
        </is>
      </c>
      <c r="M54" t="inlineStr">
        <is>
          <t>N</t>
        </is>
      </c>
      <c r="N54" t="n">
        <v>170</v>
      </c>
      <c r="O54" t="n">
        <v>0</v>
      </c>
      <c r="P54" t="n">
        <v>170</v>
      </c>
    </row>
    <row r="55">
      <c r="B55" t="n">
        <v>51</v>
      </c>
      <c r="C55" t="inlineStr">
        <is>
          <t>44112</t>
        </is>
      </c>
      <c r="D55" t="inlineStr">
        <is>
          <t>44112</t>
        </is>
      </c>
      <c r="G55" t="inlineStr">
        <is>
          <t>M29111</t>
        </is>
      </c>
      <c r="H55" t="inlineStr">
        <is>
          <t>C0218</t>
        </is>
      </c>
      <c r="I55" t="inlineStr">
        <is>
          <t>C02182B</t>
        </is>
      </c>
      <c r="J55" t="inlineStr">
        <is>
          <t>DECONTAMINATION KIT - 10038819</t>
        </is>
      </c>
      <c r="K55" t="inlineStr">
        <is>
          <t>IS</t>
        </is>
      </c>
      <c r="L55" t="inlineStr">
        <is>
          <t>BX</t>
        </is>
      </c>
      <c r="M55" t="inlineStr">
        <is>
          <t>N</t>
        </is>
      </c>
      <c r="N55" t="n">
        <v>2</v>
      </c>
      <c r="O55" t="n">
        <v>0</v>
      </c>
      <c r="P55" t="n">
        <v>2</v>
      </c>
    </row>
    <row r="56">
      <c r="B56" t="n">
        <v>52</v>
      </c>
      <c r="C56" t="inlineStr">
        <is>
          <t>44112</t>
        </is>
      </c>
      <c r="D56" t="inlineStr">
        <is>
          <t>44112</t>
        </is>
      </c>
      <c r="G56" t="inlineStr">
        <is>
          <t>M29111</t>
        </is>
      </c>
      <c r="H56" t="inlineStr">
        <is>
          <t>C0222</t>
        </is>
      </c>
      <c r="I56" t="inlineStr">
        <is>
          <t>C02222F</t>
        </is>
      </c>
      <c r="J56" t="inlineStr">
        <is>
          <t>HELMET,GROUND TROOP - HC ECH</t>
        </is>
      </c>
      <c r="K56" t="inlineStr">
        <is>
          <t>IS</t>
        </is>
      </c>
      <c r="L56" t="inlineStr">
        <is>
          <t>EA</t>
        </is>
      </c>
      <c r="M56" t="inlineStr">
        <is>
          <t>N</t>
        </is>
      </c>
      <c r="N56" t="n">
        <v>13</v>
      </c>
      <c r="O56" t="n">
        <v>0</v>
      </c>
      <c r="P56" t="n">
        <v>13</v>
      </c>
    </row>
    <row r="57">
      <c r="B57" t="n">
        <v>53</v>
      </c>
      <c r="C57" t="inlineStr">
        <is>
          <t>44112</t>
        </is>
      </c>
      <c r="D57" t="inlineStr">
        <is>
          <t>44112</t>
        </is>
      </c>
      <c r="G57" t="inlineStr">
        <is>
          <t>M29111</t>
        </is>
      </c>
      <c r="H57" t="inlineStr">
        <is>
          <t>C0247</t>
        </is>
      </c>
      <c r="I57" t="inlineStr">
        <is>
          <t>C02472Z</t>
        </is>
      </c>
      <c r="J57" t="inlineStr">
        <is>
          <t>JOINT SERVICE GENERAL PURPOSE MASK, FIELD (M50) - M50</t>
        </is>
      </c>
      <c r="K57" t="inlineStr">
        <is>
          <t>PL</t>
        </is>
      </c>
      <c r="L57" t="inlineStr"/>
      <c r="M57" t="inlineStr">
        <is>
          <t>N</t>
        </is>
      </c>
      <c r="N57" t="n">
        <v>85</v>
      </c>
      <c r="O57" t="n">
        <v>0</v>
      </c>
      <c r="P57" t="n">
        <v>85</v>
      </c>
    </row>
    <row r="58">
      <c r="B58" t="n">
        <v>54</v>
      </c>
      <c r="C58" t="inlineStr">
        <is>
          <t>44112</t>
        </is>
      </c>
      <c r="D58" t="inlineStr">
        <is>
          <t>44112</t>
        </is>
      </c>
      <c r="G58" t="inlineStr">
        <is>
          <t>M29111</t>
        </is>
      </c>
      <c r="H58" t="inlineStr">
        <is>
          <t>C0260</t>
        </is>
      </c>
      <c r="I58" t="inlineStr">
        <is>
          <t>C02602F</t>
        </is>
      </c>
      <c r="J58" t="inlineStr">
        <is>
          <t>GAITER,NECK - A-A-55247</t>
        </is>
      </c>
      <c r="K58" t="inlineStr">
        <is>
          <t>IS</t>
        </is>
      </c>
      <c r="L58" t="inlineStr">
        <is>
          <t>EA</t>
        </is>
      </c>
      <c r="M58" t="inlineStr">
        <is>
          <t>N</t>
        </is>
      </c>
      <c r="N58" t="n">
        <v>85</v>
      </c>
      <c r="O58" t="n">
        <v>0</v>
      </c>
      <c r="P58" t="n">
        <v>85</v>
      </c>
    </row>
    <row r="59">
      <c r="B59" t="n">
        <v>55</v>
      </c>
      <c r="C59" t="inlineStr">
        <is>
          <t>44112</t>
        </is>
      </c>
      <c r="D59" t="inlineStr">
        <is>
          <t>44112</t>
        </is>
      </c>
      <c r="G59" t="inlineStr">
        <is>
          <t>M29111</t>
        </is>
      </c>
      <c r="H59" t="inlineStr">
        <is>
          <t>C1000</t>
        </is>
      </c>
      <c r="I59" t="inlineStr">
        <is>
          <t>C10002E</t>
        </is>
      </c>
      <c r="J59" t="inlineStr">
        <is>
          <t>No Item Name Availa - 11-04</t>
        </is>
      </c>
      <c r="K59" t="inlineStr">
        <is>
          <t>IS</t>
        </is>
      </c>
      <c r="L59" t="inlineStr"/>
      <c r="M59" t="inlineStr">
        <is>
          <t>N</t>
        </is>
      </c>
      <c r="N59" t="n">
        <v>0</v>
      </c>
      <c r="O59" t="n">
        <v>1</v>
      </c>
      <c r="P59" t="n">
        <v>1</v>
      </c>
    </row>
    <row r="60">
      <c r="B60" t="n">
        <v>56</v>
      </c>
      <c r="C60" t="inlineStr">
        <is>
          <t>44112</t>
        </is>
      </c>
      <c r="D60" t="inlineStr">
        <is>
          <t>44112</t>
        </is>
      </c>
      <c r="G60" t="inlineStr">
        <is>
          <t>M29111</t>
        </is>
      </c>
      <c r="H60" t="inlineStr">
        <is>
          <t>C1023</t>
        </is>
      </c>
      <c r="I60" t="inlineStr">
        <is>
          <t>C10232F</t>
        </is>
      </c>
      <c r="J60" t="inlineStr">
        <is>
          <t>HOOD,COMBAT VEHICLE - MIL-H-44265</t>
        </is>
      </c>
      <c r="K60" t="inlineStr">
        <is>
          <t>IS</t>
        </is>
      </c>
      <c r="L60" t="inlineStr"/>
      <c r="M60" t="inlineStr">
        <is>
          <t>N</t>
        </is>
      </c>
      <c r="N60" t="n">
        <v>0</v>
      </c>
      <c r="O60" t="n">
        <v>0</v>
      </c>
      <c r="P60" t="n">
        <v>0</v>
      </c>
    </row>
    <row r="61">
      <c r="B61" t="n">
        <v>57</v>
      </c>
      <c r="C61" t="inlineStr">
        <is>
          <t>44112</t>
        </is>
      </c>
      <c r="D61" t="inlineStr">
        <is>
          <t>44112</t>
        </is>
      </c>
      <c r="G61" t="inlineStr">
        <is>
          <t>M29111</t>
        </is>
      </c>
      <c r="H61" t="inlineStr">
        <is>
          <t>C1055</t>
        </is>
      </c>
      <c r="I61" t="inlineStr">
        <is>
          <t>C10552F</t>
        </is>
      </c>
      <c r="J61" t="inlineStr">
        <is>
          <t>CAP,COLD WEATHER - CR/PD01-09</t>
        </is>
      </c>
      <c r="K61" t="inlineStr">
        <is>
          <t>IS</t>
        </is>
      </c>
      <c r="L61" t="inlineStr">
        <is>
          <t>EA</t>
        </is>
      </c>
      <c r="M61" t="inlineStr">
        <is>
          <t>N</t>
        </is>
      </c>
      <c r="N61" t="n">
        <v>85</v>
      </c>
      <c r="O61" t="n">
        <v>0</v>
      </c>
      <c r="P61" t="n">
        <v>85</v>
      </c>
    </row>
    <row r="62">
      <c r="B62" t="n">
        <v>58</v>
      </c>
      <c r="C62" t="inlineStr">
        <is>
          <t>44112</t>
        </is>
      </c>
      <c r="D62" t="inlineStr">
        <is>
          <t>44112</t>
        </is>
      </c>
      <c r="G62" t="inlineStr">
        <is>
          <t>M29111</t>
        </is>
      </c>
      <c r="H62" t="inlineStr">
        <is>
          <t>C1107</t>
        </is>
      </c>
      <c r="I62" t="inlineStr">
        <is>
          <t>C11072F</t>
        </is>
      </c>
      <c r="J62" t="inlineStr">
        <is>
          <t>GLOVES,MEN'S AND WO - SIZE 3</t>
        </is>
      </c>
      <c r="K62" t="inlineStr">
        <is>
          <t>IS</t>
        </is>
      </c>
      <c r="L62" t="inlineStr">
        <is>
          <t>PR</t>
        </is>
      </c>
      <c r="M62" t="inlineStr">
        <is>
          <t>N</t>
        </is>
      </c>
      <c r="N62" t="n">
        <v>85</v>
      </c>
      <c r="O62" t="n">
        <v>0</v>
      </c>
      <c r="P62" t="n">
        <v>85</v>
      </c>
    </row>
    <row r="63">
      <c r="B63" t="n">
        <v>59</v>
      </c>
      <c r="C63" t="inlineStr">
        <is>
          <t>44112</t>
        </is>
      </c>
      <c r="D63" t="inlineStr">
        <is>
          <t>44112</t>
        </is>
      </c>
      <c r="G63" t="inlineStr">
        <is>
          <t>M29111</t>
        </is>
      </c>
      <c r="H63" t="inlineStr">
        <is>
          <t>C1120</t>
        </is>
      </c>
      <c r="I63" t="inlineStr">
        <is>
          <t>C11202F</t>
        </is>
      </c>
      <c r="J63" t="inlineStr">
        <is>
          <t>GLOVE INSERTS,COLD - 70113</t>
        </is>
      </c>
      <c r="K63" t="inlineStr">
        <is>
          <t>IS</t>
        </is>
      </c>
      <c r="L63" t="inlineStr">
        <is>
          <t>PR</t>
        </is>
      </c>
      <c r="M63" t="inlineStr">
        <is>
          <t>N</t>
        </is>
      </c>
      <c r="N63" t="n">
        <v>170</v>
      </c>
      <c r="O63" t="n">
        <v>0</v>
      </c>
      <c r="P63" t="n">
        <v>170</v>
      </c>
    </row>
    <row r="64">
      <c r="B64" t="n">
        <v>60</v>
      </c>
      <c r="C64" t="inlineStr">
        <is>
          <t>44112</t>
        </is>
      </c>
      <c r="D64" t="inlineStr">
        <is>
          <t>44112</t>
        </is>
      </c>
      <c r="G64" t="inlineStr">
        <is>
          <t>M29111</t>
        </is>
      </c>
      <c r="H64" t="inlineStr">
        <is>
          <t>C2130</t>
        </is>
      </c>
      <c r="I64" t="inlineStr">
        <is>
          <t>C21302F</t>
        </is>
      </c>
      <c r="J64" t="inlineStr">
        <is>
          <t>OVERSHOES,NUCLEAR,B - MALO</t>
        </is>
      </c>
      <c r="K64" t="inlineStr">
        <is>
          <t>IS</t>
        </is>
      </c>
      <c r="L64" t="inlineStr">
        <is>
          <t>PR</t>
        </is>
      </c>
      <c r="M64" t="inlineStr">
        <is>
          <t>N</t>
        </is>
      </c>
      <c r="N64" t="n">
        <v>170</v>
      </c>
      <c r="O64" t="n">
        <v>0</v>
      </c>
      <c r="P64" t="n">
        <v>170</v>
      </c>
    </row>
    <row r="65">
      <c r="B65" t="n">
        <v>61</v>
      </c>
      <c r="C65" t="inlineStr">
        <is>
          <t>44112</t>
        </is>
      </c>
      <c r="D65" t="inlineStr">
        <is>
          <t>44112</t>
        </is>
      </c>
      <c r="G65" t="inlineStr">
        <is>
          <t>M29111</t>
        </is>
      </c>
      <c r="H65" t="inlineStr">
        <is>
          <t>C2150</t>
        </is>
      </c>
      <c r="I65" t="inlineStr">
        <is>
          <t>C21502F</t>
        </is>
      </c>
      <c r="J65" t="inlineStr">
        <is>
          <t>GLOVE INSERTS,NUCLE - DSSPM330-01</t>
        </is>
      </c>
      <c r="K65" t="inlineStr">
        <is>
          <t>IS</t>
        </is>
      </c>
      <c r="L65" t="inlineStr">
        <is>
          <t>PR</t>
        </is>
      </c>
      <c r="M65" t="inlineStr">
        <is>
          <t>N</t>
        </is>
      </c>
      <c r="N65" t="n">
        <v>170</v>
      </c>
      <c r="O65" t="n">
        <v>0</v>
      </c>
      <c r="P65" t="n">
        <v>170</v>
      </c>
    </row>
    <row r="66">
      <c r="B66" t="n">
        <v>62</v>
      </c>
      <c r="C66" t="inlineStr">
        <is>
          <t>44112</t>
        </is>
      </c>
      <c r="D66" t="inlineStr">
        <is>
          <t>44112</t>
        </is>
      </c>
      <c r="G66" t="inlineStr">
        <is>
          <t>M29111</t>
        </is>
      </c>
      <c r="H66" t="inlineStr">
        <is>
          <t>C2170</t>
        </is>
      </c>
      <c r="I66" t="inlineStr">
        <is>
          <t>C21702E</t>
        </is>
      </c>
      <c r="J66" t="inlineStr">
        <is>
          <t>SPECTACLES,INDUSTRI</t>
        </is>
      </c>
      <c r="K66" t="inlineStr">
        <is>
          <t>IS</t>
        </is>
      </c>
      <c r="L66" t="inlineStr">
        <is>
          <t>EA</t>
        </is>
      </c>
      <c r="M66" t="inlineStr">
        <is>
          <t>N</t>
        </is>
      </c>
      <c r="N66" t="n">
        <v>85</v>
      </c>
      <c r="O66" t="n">
        <v>0</v>
      </c>
      <c r="P66" t="n">
        <v>85</v>
      </c>
    </row>
    <row r="67">
      <c r="B67" t="n">
        <v>63</v>
      </c>
      <c r="C67" t="inlineStr">
        <is>
          <t>44112</t>
        </is>
      </c>
      <c r="D67" t="inlineStr">
        <is>
          <t>44112</t>
        </is>
      </c>
      <c r="G67" t="inlineStr">
        <is>
          <t>M29111</t>
        </is>
      </c>
      <c r="H67" t="inlineStr">
        <is>
          <t>C2171</t>
        </is>
      </c>
      <c r="I67" t="inlineStr">
        <is>
          <t>C21712E</t>
        </is>
      </c>
      <c r="J67" t="inlineStr">
        <is>
          <t>GOGGLES,INDUSTRIAL - INFLUX</t>
        </is>
      </c>
      <c r="K67" t="inlineStr">
        <is>
          <t>IS</t>
        </is>
      </c>
      <c r="L67" t="inlineStr">
        <is>
          <t>EA</t>
        </is>
      </c>
      <c r="M67" t="inlineStr">
        <is>
          <t>N</t>
        </is>
      </c>
      <c r="N67" t="n">
        <v>85</v>
      </c>
      <c r="O67" t="n">
        <v>0</v>
      </c>
      <c r="P67" t="n">
        <v>85</v>
      </c>
    </row>
    <row r="68">
      <c r="B68" t="n">
        <v>64</v>
      </c>
      <c r="C68" t="inlineStr">
        <is>
          <t>44112</t>
        </is>
      </c>
      <c r="D68" t="inlineStr">
        <is>
          <t>44112</t>
        </is>
      </c>
      <c r="G68" t="inlineStr">
        <is>
          <t>M29111</t>
        </is>
      </c>
      <c r="H68" t="inlineStr">
        <is>
          <t>C2200</t>
        </is>
      </c>
      <c r="I68" t="inlineStr">
        <is>
          <t>C22002E</t>
        </is>
      </c>
      <c r="J68" t="inlineStr">
        <is>
          <t>REACTIVE SKIN DECON - JSPDS/RSDL</t>
        </is>
      </c>
      <c r="K68" t="inlineStr">
        <is>
          <t>IS</t>
        </is>
      </c>
      <c r="L68" t="inlineStr">
        <is>
          <t>PG</t>
        </is>
      </c>
      <c r="M68" t="inlineStr">
        <is>
          <t>N</t>
        </is>
      </c>
      <c r="N68" t="n">
        <v>4</v>
      </c>
      <c r="O68" t="n">
        <v>0</v>
      </c>
      <c r="P68" t="n">
        <v>4</v>
      </c>
    </row>
    <row r="69">
      <c r="B69" t="n">
        <v>65</v>
      </c>
      <c r="C69" t="inlineStr">
        <is>
          <t>44112</t>
        </is>
      </c>
      <c r="D69" t="inlineStr">
        <is>
          <t>44112</t>
        </is>
      </c>
      <c r="G69" t="inlineStr">
        <is>
          <t>M29111</t>
        </is>
      </c>
      <c r="H69" t="inlineStr">
        <is>
          <t>C2321</t>
        </is>
      </c>
      <c r="I69" t="inlineStr">
        <is>
          <t>C23212F</t>
        </is>
      </c>
      <c r="J69" t="inlineStr">
        <is>
          <t>BODY ARMOR OUTFIT,E - EOD 10E</t>
        </is>
      </c>
      <c r="K69" t="inlineStr">
        <is>
          <t>IS</t>
        </is>
      </c>
      <c r="L69" t="inlineStr">
        <is>
          <t>EA</t>
        </is>
      </c>
      <c r="M69" t="inlineStr">
        <is>
          <t>N</t>
        </is>
      </c>
      <c r="N69" t="n">
        <v>0</v>
      </c>
      <c r="O69" t="n">
        <v>2</v>
      </c>
      <c r="P69" t="n">
        <v>2</v>
      </c>
    </row>
    <row r="70">
      <c r="B70" t="n">
        <v>66</v>
      </c>
      <c r="C70" t="inlineStr">
        <is>
          <t>44112</t>
        </is>
      </c>
      <c r="D70" t="inlineStr">
        <is>
          <t>44112</t>
        </is>
      </c>
      <c r="G70" t="inlineStr">
        <is>
          <t>M29111</t>
        </is>
      </c>
      <c r="H70" t="inlineStr">
        <is>
          <t>C3020</t>
        </is>
      </c>
      <c r="I70" t="inlineStr">
        <is>
          <t>C30202E</t>
        </is>
      </c>
      <c r="J70" t="inlineStr">
        <is>
          <t>INSERTS,ENHANCED SM -  CO/PD 04-10</t>
        </is>
      </c>
      <c r="K70" t="inlineStr">
        <is>
          <t>IS</t>
        </is>
      </c>
      <c r="L70" t="inlineStr">
        <is>
          <t>EA</t>
        </is>
      </c>
      <c r="M70" t="inlineStr">
        <is>
          <t>N</t>
        </is>
      </c>
      <c r="N70" t="n">
        <v>170</v>
      </c>
      <c r="O70" t="n">
        <v>0</v>
      </c>
      <c r="P70" t="n">
        <v>170</v>
      </c>
    </row>
    <row r="71">
      <c r="B71" t="n">
        <v>67</v>
      </c>
      <c r="C71" t="inlineStr">
        <is>
          <t>44112</t>
        </is>
      </c>
      <c r="D71" t="inlineStr">
        <is>
          <t>44112</t>
        </is>
      </c>
      <c r="G71" t="inlineStr">
        <is>
          <t>M29111</t>
        </is>
      </c>
      <c r="H71" t="inlineStr">
        <is>
          <t>C3060</t>
        </is>
      </c>
      <c r="I71" t="inlineStr">
        <is>
          <t>C30602E</t>
        </is>
      </c>
      <c r="J71" t="inlineStr">
        <is>
          <t>CANTEEN,WATER - MIL-C-43103</t>
        </is>
      </c>
      <c r="K71" t="inlineStr">
        <is>
          <t>IS</t>
        </is>
      </c>
      <c r="L71" t="inlineStr">
        <is>
          <t>EA</t>
        </is>
      </c>
      <c r="M71" t="inlineStr">
        <is>
          <t>N</t>
        </is>
      </c>
      <c r="N71" t="n">
        <v>170</v>
      </c>
      <c r="O71" t="n">
        <v>0</v>
      </c>
      <c r="P71" t="n">
        <v>170</v>
      </c>
    </row>
    <row r="72">
      <c r="B72" t="n">
        <v>68</v>
      </c>
      <c r="C72" t="inlineStr">
        <is>
          <t>44112</t>
        </is>
      </c>
      <c r="D72" t="inlineStr">
        <is>
          <t>44112</t>
        </is>
      </c>
      <c r="G72" t="inlineStr">
        <is>
          <t>M29111</t>
        </is>
      </c>
      <c r="H72" t="inlineStr">
        <is>
          <t>C3070</t>
        </is>
      </c>
      <c r="I72" t="inlineStr">
        <is>
          <t>C30702E</t>
        </is>
      </c>
      <c r="J72" t="inlineStr">
        <is>
          <t>CARRIER,INTRENCHING - 390-04A</t>
        </is>
      </c>
      <c r="K72" t="inlineStr">
        <is>
          <t>IS</t>
        </is>
      </c>
      <c r="L72" t="inlineStr">
        <is>
          <t>EA</t>
        </is>
      </c>
      <c r="M72" t="inlineStr">
        <is>
          <t>N</t>
        </is>
      </c>
      <c r="N72" t="n">
        <v>85</v>
      </c>
      <c r="O72" t="n">
        <v>0</v>
      </c>
      <c r="P72" t="n">
        <v>85</v>
      </c>
    </row>
    <row r="73">
      <c r="B73" t="n">
        <v>69</v>
      </c>
      <c r="C73" t="inlineStr">
        <is>
          <t>44112</t>
        </is>
      </c>
      <c r="D73" t="inlineStr">
        <is>
          <t>44112</t>
        </is>
      </c>
      <c r="G73" t="inlineStr">
        <is>
          <t>M29111</t>
        </is>
      </c>
      <c r="H73" t="inlineStr">
        <is>
          <t>C3124</t>
        </is>
      </c>
      <c r="I73" t="inlineStr">
        <is>
          <t>C31242F</t>
        </is>
      </c>
      <c r="J73" t="inlineStr">
        <is>
          <t>COVER,HELMET - N/A</t>
        </is>
      </c>
      <c r="K73" t="inlineStr">
        <is>
          <t>IS</t>
        </is>
      </c>
      <c r="L73" t="inlineStr">
        <is>
          <t>EA</t>
        </is>
      </c>
      <c r="M73" t="inlineStr">
        <is>
          <t>N</t>
        </is>
      </c>
      <c r="N73" t="n">
        <v>77</v>
      </c>
      <c r="O73" t="n">
        <v>0</v>
      </c>
      <c r="P73" t="n">
        <v>77</v>
      </c>
    </row>
    <row r="74">
      <c r="B74" t="n">
        <v>70</v>
      </c>
      <c r="C74" t="inlineStr">
        <is>
          <t>44112</t>
        </is>
      </c>
      <c r="D74" t="inlineStr">
        <is>
          <t>44112</t>
        </is>
      </c>
      <c r="G74" t="inlineStr">
        <is>
          <t>M29111</t>
        </is>
      </c>
      <c r="H74" t="inlineStr">
        <is>
          <t>C3140</t>
        </is>
      </c>
      <c r="I74" t="inlineStr">
        <is>
          <t>C31402E</t>
        </is>
      </c>
      <c r="J74" t="inlineStr">
        <is>
          <t>CUP,WATER CANTEEN - MIL-C-73761</t>
        </is>
      </c>
      <c r="K74" t="inlineStr">
        <is>
          <t>IS</t>
        </is>
      </c>
      <c r="L74" t="inlineStr">
        <is>
          <t>EA</t>
        </is>
      </c>
      <c r="M74" t="inlineStr">
        <is>
          <t>N</t>
        </is>
      </c>
      <c r="N74" t="n">
        <v>85</v>
      </c>
      <c r="O74" t="n">
        <v>0</v>
      </c>
      <c r="P74" t="n">
        <v>85</v>
      </c>
    </row>
    <row r="75">
      <c r="B75" t="n">
        <v>71</v>
      </c>
      <c r="C75" t="inlineStr">
        <is>
          <t>44112</t>
        </is>
      </c>
      <c r="D75" t="inlineStr">
        <is>
          <t>44112</t>
        </is>
      </c>
      <c r="G75" t="inlineStr">
        <is>
          <t>M29111</t>
        </is>
      </c>
      <c r="H75" t="inlineStr">
        <is>
          <t>C3150</t>
        </is>
      </c>
      <c r="I75" t="inlineStr">
        <is>
          <t>C31502F</t>
        </is>
      </c>
      <c r="J75" t="inlineStr">
        <is>
          <t>FIRST AID KIT,INDIV - 1IFAK</t>
        </is>
      </c>
      <c r="K75" t="inlineStr">
        <is>
          <t>IS</t>
        </is>
      </c>
      <c r="L75" t="inlineStr">
        <is>
          <t>KT</t>
        </is>
      </c>
      <c r="M75" t="inlineStr">
        <is>
          <t>N</t>
        </is>
      </c>
      <c r="N75" t="n">
        <v>0</v>
      </c>
      <c r="O75" t="n">
        <v>44</v>
      </c>
      <c r="P75" t="n">
        <v>44</v>
      </c>
    </row>
    <row r="76">
      <c r="B76" t="n">
        <v>72</v>
      </c>
      <c r="C76" t="inlineStr">
        <is>
          <t>44112</t>
        </is>
      </c>
      <c r="D76" t="inlineStr">
        <is>
          <t>44112</t>
        </is>
      </c>
      <c r="G76" t="inlineStr">
        <is>
          <t>M29111</t>
        </is>
      </c>
      <c r="H76" t="inlineStr">
        <is>
          <t>C3215</t>
        </is>
      </c>
      <c r="I76" t="inlineStr">
        <is>
          <t>C32152E</t>
        </is>
      </c>
      <c r="J76" t="inlineStr">
        <is>
          <t>HELMET,GROUND TROOP - A12769</t>
        </is>
      </c>
      <c r="K76" t="inlineStr">
        <is>
          <t>IS</t>
        </is>
      </c>
      <c r="L76" t="inlineStr">
        <is>
          <t>EA</t>
        </is>
      </c>
      <c r="M76" t="inlineStr">
        <is>
          <t>N</t>
        </is>
      </c>
      <c r="N76" t="n">
        <v>77</v>
      </c>
      <c r="O76" t="n">
        <v>0</v>
      </c>
      <c r="P76" t="n">
        <v>77</v>
      </c>
    </row>
    <row r="77">
      <c r="B77" t="n">
        <v>73</v>
      </c>
      <c r="C77" t="inlineStr">
        <is>
          <t>44112</t>
        </is>
      </c>
      <c r="D77" t="inlineStr">
        <is>
          <t>44112</t>
        </is>
      </c>
      <c r="G77" t="inlineStr">
        <is>
          <t>M29111</t>
        </is>
      </c>
      <c r="H77" t="inlineStr">
        <is>
          <t>C3230</t>
        </is>
      </c>
      <c r="I77" t="inlineStr">
        <is>
          <t>C32302E</t>
        </is>
      </c>
      <c r="J77" t="inlineStr">
        <is>
          <t>INTRENCHING TOOL,HA - 05940</t>
        </is>
      </c>
      <c r="K77" t="inlineStr">
        <is>
          <t>IS</t>
        </is>
      </c>
      <c r="L77" t="inlineStr">
        <is>
          <t>EA</t>
        </is>
      </c>
      <c r="M77" t="inlineStr">
        <is>
          <t>N</t>
        </is>
      </c>
      <c r="N77" t="n">
        <v>85</v>
      </c>
      <c r="O77" t="n">
        <v>0</v>
      </c>
      <c r="P77" t="n">
        <v>85</v>
      </c>
    </row>
    <row r="78">
      <c r="B78" t="n">
        <v>74</v>
      </c>
      <c r="C78" t="inlineStr">
        <is>
          <t>44112</t>
        </is>
      </c>
      <c r="D78" t="inlineStr">
        <is>
          <t>44112</t>
        </is>
      </c>
      <c r="G78" t="inlineStr">
        <is>
          <t>M29111</t>
        </is>
      </c>
      <c r="H78" t="inlineStr">
        <is>
          <t>C3250</t>
        </is>
      </c>
      <c r="I78" t="inlineStr">
        <is>
          <t>C32502E</t>
        </is>
      </c>
      <c r="J78" t="inlineStr">
        <is>
          <t>KNIFE,COMBAT - MIL-K-20277</t>
        </is>
      </c>
      <c r="K78" t="inlineStr">
        <is>
          <t>IS</t>
        </is>
      </c>
      <c r="L78" t="inlineStr">
        <is>
          <t>EA</t>
        </is>
      </c>
      <c r="M78" t="inlineStr">
        <is>
          <t>N</t>
        </is>
      </c>
      <c r="N78" t="n">
        <v>0</v>
      </c>
      <c r="O78" t="n">
        <v>0</v>
      </c>
      <c r="P78" t="n">
        <v>0</v>
      </c>
    </row>
    <row r="79">
      <c r="B79" t="n">
        <v>75</v>
      </c>
      <c r="C79" t="inlineStr">
        <is>
          <t>44112</t>
        </is>
      </c>
      <c r="D79" t="inlineStr">
        <is>
          <t>44112</t>
        </is>
      </c>
      <c r="G79" t="inlineStr">
        <is>
          <t>M29111</t>
        </is>
      </c>
      <c r="H79" t="inlineStr">
        <is>
          <t>C3400</t>
        </is>
      </c>
      <c r="I79" t="inlineStr">
        <is>
          <t>C34002F</t>
        </is>
      </c>
      <c r="J79" t="inlineStr">
        <is>
          <t>TARPAULIN - 8405-00-NSH-00</t>
        </is>
      </c>
      <c r="K79" t="inlineStr">
        <is>
          <t>IS</t>
        </is>
      </c>
      <c r="L79" t="inlineStr">
        <is>
          <t>EA</t>
        </is>
      </c>
      <c r="M79" t="inlineStr">
        <is>
          <t>N</t>
        </is>
      </c>
      <c r="N79" t="n">
        <v>85</v>
      </c>
      <c r="O79" t="n">
        <v>0</v>
      </c>
      <c r="P79" t="n">
        <v>85</v>
      </c>
    </row>
    <row r="80">
      <c r="B80" t="n">
        <v>76</v>
      </c>
      <c r="C80" t="inlineStr">
        <is>
          <t>44112</t>
        </is>
      </c>
      <c r="D80" t="inlineStr">
        <is>
          <t>44112</t>
        </is>
      </c>
      <c r="G80" t="inlineStr">
        <is>
          <t>M29111</t>
        </is>
      </c>
      <c r="H80" t="inlineStr">
        <is>
          <t>C3414</t>
        </is>
      </c>
      <c r="I80" t="inlineStr">
        <is>
          <t>C34142E</t>
        </is>
      </c>
      <c r="J80" t="inlineStr">
        <is>
          <t>TENT,COMBAT,TWO MAN - 2628916</t>
        </is>
      </c>
      <c r="K80" t="inlineStr">
        <is>
          <t>IS</t>
        </is>
      </c>
      <c r="L80" t="inlineStr">
        <is>
          <t>EA</t>
        </is>
      </c>
      <c r="M80" t="inlineStr">
        <is>
          <t>N</t>
        </is>
      </c>
      <c r="N80" t="n">
        <v>43</v>
      </c>
      <c r="O80" t="n">
        <v>0</v>
      </c>
      <c r="P80" t="n">
        <v>43</v>
      </c>
    </row>
    <row r="81">
      <c r="B81" t="n">
        <v>77</v>
      </c>
      <c r="C81" t="inlineStr">
        <is>
          <t>44112</t>
        </is>
      </c>
      <c r="D81" t="inlineStr">
        <is>
          <t>44112</t>
        </is>
      </c>
      <c r="G81" t="inlineStr">
        <is>
          <t>M29111</t>
        </is>
      </c>
      <c r="H81" t="inlineStr">
        <is>
          <t>C3421</t>
        </is>
      </c>
      <c r="I81" t="inlineStr">
        <is>
          <t>C34212F</t>
        </is>
      </c>
      <c r="J81" t="inlineStr">
        <is>
          <t>MODULAR SLEEP SYSTE - W91AZKLG</t>
        </is>
      </c>
      <c r="K81" t="inlineStr">
        <is>
          <t>IS</t>
        </is>
      </c>
      <c r="L81" t="inlineStr">
        <is>
          <t>EA</t>
        </is>
      </c>
      <c r="M81" t="inlineStr">
        <is>
          <t>N</t>
        </is>
      </c>
      <c r="N81" t="n">
        <v>85</v>
      </c>
      <c r="O81" t="n">
        <v>0</v>
      </c>
      <c r="P81" t="n">
        <v>85</v>
      </c>
    </row>
    <row r="82">
      <c r="B82" t="n">
        <v>78</v>
      </c>
      <c r="C82" t="inlineStr">
        <is>
          <t>44112</t>
        </is>
      </c>
      <c r="D82" t="inlineStr">
        <is>
          <t>44112</t>
        </is>
      </c>
      <c r="G82" t="inlineStr">
        <is>
          <t>M29111</t>
        </is>
      </c>
      <c r="H82" t="inlineStr">
        <is>
          <t>C3423</t>
        </is>
      </c>
      <c r="I82" t="inlineStr">
        <is>
          <t>C34232E</t>
        </is>
      </c>
      <c r="J82" t="inlineStr">
        <is>
          <t>STAND,CANTEEN CUP - MIL-S-44221</t>
        </is>
      </c>
      <c r="K82" t="inlineStr">
        <is>
          <t>IS</t>
        </is>
      </c>
      <c r="L82" t="inlineStr">
        <is>
          <t>EA</t>
        </is>
      </c>
      <c r="M82" t="inlineStr">
        <is>
          <t>N</t>
        </is>
      </c>
      <c r="N82" t="n">
        <v>85</v>
      </c>
      <c r="O82" t="n">
        <v>0</v>
      </c>
      <c r="P82" t="n">
        <v>85</v>
      </c>
    </row>
    <row r="83">
      <c r="B83" t="n">
        <v>79</v>
      </c>
      <c r="C83" t="inlineStr">
        <is>
          <t>44112</t>
        </is>
      </c>
      <c r="D83" t="inlineStr">
        <is>
          <t>44112</t>
        </is>
      </c>
      <c r="G83" t="inlineStr">
        <is>
          <t>M29111</t>
        </is>
      </c>
      <c r="H83" t="inlineStr">
        <is>
          <t>C4433</t>
        </is>
      </c>
      <c r="I83" t="inlineStr">
        <is>
          <t>C44332E</t>
        </is>
      </c>
      <c r="J83" t="inlineStr">
        <is>
          <t>SHIPPING AND STORAG - SB812M</t>
        </is>
      </c>
      <c r="K83" t="inlineStr">
        <is>
          <t>IS</t>
        </is>
      </c>
      <c r="L83" t="inlineStr">
        <is>
          <t>EA</t>
        </is>
      </c>
      <c r="M83" t="inlineStr">
        <is>
          <t>N</t>
        </is>
      </c>
      <c r="N83" t="n">
        <v>0</v>
      </c>
      <c r="O83" t="n">
        <v>4</v>
      </c>
      <c r="P83" t="n">
        <v>4</v>
      </c>
    </row>
    <row r="84">
      <c r="B84" t="n">
        <v>80</v>
      </c>
      <c r="C84" t="inlineStr">
        <is>
          <t>44112</t>
        </is>
      </c>
      <c r="D84" t="inlineStr">
        <is>
          <t>44112</t>
        </is>
      </c>
      <c r="G84" t="inlineStr">
        <is>
          <t>M29111</t>
        </is>
      </c>
      <c r="H84" t="inlineStr">
        <is>
          <t>C5265</t>
        </is>
      </c>
      <c r="I84" t="inlineStr">
        <is>
          <t>C52652E</t>
        </is>
      </c>
      <c r="J84" t="inlineStr">
        <is>
          <t>MASK SYSTEM,CHEMICA - M50</t>
        </is>
      </c>
      <c r="K84" t="inlineStr">
        <is>
          <t>IS</t>
        </is>
      </c>
      <c r="L84" t="inlineStr">
        <is>
          <t>EA</t>
        </is>
      </c>
      <c r="M84" t="inlineStr">
        <is>
          <t>N</t>
        </is>
      </c>
      <c r="N84" t="n">
        <v>85</v>
      </c>
      <c r="O84" t="n">
        <v>0</v>
      </c>
      <c r="P84" t="n">
        <v>85</v>
      </c>
    </row>
    <row r="85">
      <c r="B85" t="n">
        <v>81</v>
      </c>
      <c r="C85" t="inlineStr">
        <is>
          <t>44112</t>
        </is>
      </c>
      <c r="D85" t="inlineStr">
        <is>
          <t>44112</t>
        </is>
      </c>
      <c r="G85" t="inlineStr">
        <is>
          <t>M29111</t>
        </is>
      </c>
      <c r="H85" t="inlineStr">
        <is>
          <t>C5440</t>
        </is>
      </c>
      <c r="I85" t="inlineStr">
        <is>
          <t>C54402F</t>
        </is>
      </c>
      <c r="J85" t="inlineStr">
        <is>
          <t>FIELD PACK - F190186393</t>
        </is>
      </c>
      <c r="K85" t="inlineStr">
        <is>
          <t>IS</t>
        </is>
      </c>
      <c r="L85" t="inlineStr">
        <is>
          <t>EA</t>
        </is>
      </c>
      <c r="M85" t="inlineStr">
        <is>
          <t>N</t>
        </is>
      </c>
      <c r="N85" t="n">
        <v>85</v>
      </c>
      <c r="O85" t="n">
        <v>0</v>
      </c>
      <c r="P85" t="n">
        <v>85</v>
      </c>
    </row>
    <row r="86">
      <c r="B86" t="n">
        <v>82</v>
      </c>
      <c r="C86" t="inlineStr">
        <is>
          <t>44112</t>
        </is>
      </c>
      <c r="D86" t="inlineStr">
        <is>
          <t>44112</t>
        </is>
      </c>
      <c r="G86" t="inlineStr">
        <is>
          <t>M29111</t>
        </is>
      </c>
      <c r="H86" t="inlineStr">
        <is>
          <t>C5652</t>
        </is>
      </c>
      <c r="I86" t="inlineStr">
        <is>
          <t>C56522F</t>
        </is>
      </c>
      <c r="J86" t="inlineStr">
        <is>
          <t>No Item Name Availa - APECS 3RD GEN</t>
        </is>
      </c>
      <c r="K86" t="inlineStr">
        <is>
          <t>IS</t>
        </is>
      </c>
      <c r="L86" t="inlineStr"/>
      <c r="M86" t="inlineStr">
        <is>
          <t>N</t>
        </is>
      </c>
      <c r="N86" t="n">
        <v>85</v>
      </c>
      <c r="O86" t="n">
        <v>0</v>
      </c>
      <c r="P86" t="n">
        <v>85</v>
      </c>
    </row>
    <row r="87">
      <c r="B87" t="n">
        <v>83</v>
      </c>
      <c r="C87" t="inlineStr">
        <is>
          <t>44112</t>
        </is>
      </c>
      <c r="D87" t="inlineStr">
        <is>
          <t>44112</t>
        </is>
      </c>
      <c r="G87" t="inlineStr">
        <is>
          <t>M29111</t>
        </is>
      </c>
      <c r="H87" t="inlineStr">
        <is>
          <t>C6030</t>
        </is>
      </c>
      <c r="I87" t="inlineStr">
        <is>
          <t>C60302E</t>
        </is>
      </c>
      <c r="J87" t="inlineStr">
        <is>
          <t>No Item Name Availa - MIL-S-15754</t>
        </is>
      </c>
      <c r="K87" t="inlineStr">
        <is>
          <t>IS</t>
        </is>
      </c>
      <c r="L87" t="inlineStr"/>
      <c r="M87" t="inlineStr">
        <is>
          <t>N</t>
        </is>
      </c>
      <c r="N87" t="n">
        <v>0</v>
      </c>
      <c r="O87" t="n">
        <v>1</v>
      </c>
      <c r="P87" t="n">
        <v>1</v>
      </c>
    </row>
    <row r="88">
      <c r="B88" t="n">
        <v>84</v>
      </c>
      <c r="C88" t="inlineStr">
        <is>
          <t>44112</t>
        </is>
      </c>
      <c r="D88" t="inlineStr">
        <is>
          <t>44112</t>
        </is>
      </c>
      <c r="G88" t="inlineStr">
        <is>
          <t>M29111</t>
        </is>
      </c>
      <c r="H88" t="inlineStr">
        <is>
          <t>C6632</t>
        </is>
      </c>
      <c r="I88" t="inlineStr">
        <is>
          <t>C66322F</t>
        </is>
      </c>
      <c r="J88" t="inlineStr">
        <is>
          <t>No Item Name Availa - N/A</t>
        </is>
      </c>
      <c r="K88" t="inlineStr">
        <is>
          <t>IS</t>
        </is>
      </c>
      <c r="L88" t="inlineStr"/>
      <c r="M88" t="inlineStr">
        <is>
          <t>N</t>
        </is>
      </c>
      <c r="N88" t="n">
        <v>85</v>
      </c>
      <c r="O88" t="n">
        <v>0</v>
      </c>
      <c r="P88" t="n">
        <v>85</v>
      </c>
    </row>
    <row r="89">
      <c r="B89" t="n">
        <v>85</v>
      </c>
      <c r="C89" t="inlineStr">
        <is>
          <t>21710</t>
        </is>
      </c>
      <c r="D89" t="inlineStr">
        <is>
          <t>21710</t>
        </is>
      </c>
      <c r="G89" t="inlineStr">
        <is>
          <t>M29111</t>
        </is>
      </c>
      <c r="H89" t="inlineStr">
        <is>
          <t>D0045</t>
        </is>
      </c>
      <c r="I89" t="inlineStr">
        <is>
          <t>D00457K</t>
        </is>
      </c>
      <c r="J89" t="inlineStr">
        <is>
          <t>TRUCK,UTILITY - M1280A1</t>
        </is>
      </c>
      <c r="K89" t="inlineStr">
        <is>
          <t>IS</t>
        </is>
      </c>
      <c r="L89" t="inlineStr">
        <is>
          <t>EA</t>
        </is>
      </c>
      <c r="M89" t="inlineStr">
        <is>
          <t>R</t>
        </is>
      </c>
      <c r="N89" t="n">
        <v>0</v>
      </c>
      <c r="O89" t="n">
        <v>4</v>
      </c>
      <c r="P89" t="n">
        <v>4</v>
      </c>
    </row>
    <row r="90">
      <c r="B90" t="n">
        <v>86</v>
      </c>
      <c r="C90" t="inlineStr">
        <is>
          <t>21710</t>
        </is>
      </c>
      <c r="D90" t="inlineStr">
        <is>
          <t>21710</t>
        </is>
      </c>
      <c r="G90" t="inlineStr">
        <is>
          <t>M29111</t>
        </is>
      </c>
      <c r="H90" t="inlineStr">
        <is>
          <t>D0046</t>
        </is>
      </c>
      <c r="I90" t="inlineStr">
        <is>
          <t>D00467K</t>
        </is>
      </c>
      <c r="J90" t="inlineStr">
        <is>
          <t>TRUCK,UTILITY - M1278A1</t>
        </is>
      </c>
      <c r="K90" t="inlineStr">
        <is>
          <t>IS</t>
        </is>
      </c>
      <c r="L90" t="inlineStr">
        <is>
          <t>EA</t>
        </is>
      </c>
      <c r="M90" t="inlineStr">
        <is>
          <t>R</t>
        </is>
      </c>
      <c r="N90" t="n">
        <v>0</v>
      </c>
      <c r="O90" t="n">
        <v>2</v>
      </c>
      <c r="P90" t="n">
        <v>2</v>
      </c>
    </row>
    <row r="91">
      <c r="B91" t="n">
        <v>87</v>
      </c>
      <c r="C91" t="inlineStr">
        <is>
          <t>21710</t>
        </is>
      </c>
      <c r="D91" t="inlineStr">
        <is>
          <t>21710</t>
        </is>
      </c>
      <c r="G91" t="inlineStr">
        <is>
          <t>M29111</t>
        </is>
      </c>
      <c r="H91" t="inlineStr">
        <is>
          <t>D0048</t>
        </is>
      </c>
      <c r="I91" t="inlineStr">
        <is>
          <t>D00487K</t>
        </is>
      </c>
      <c r="J91" t="inlineStr">
        <is>
          <t>TRUCK,UTILITY - M1279A1</t>
        </is>
      </c>
      <c r="K91" t="inlineStr">
        <is>
          <t>IS</t>
        </is>
      </c>
      <c r="L91" t="inlineStr">
        <is>
          <t>EA</t>
        </is>
      </c>
      <c r="M91" t="inlineStr">
        <is>
          <t>R</t>
        </is>
      </c>
      <c r="N91" t="n">
        <v>0</v>
      </c>
      <c r="O91" t="n">
        <v>2</v>
      </c>
      <c r="P91" t="n">
        <v>2</v>
      </c>
    </row>
    <row r="92">
      <c r="B92" t="n">
        <v>88</v>
      </c>
      <c r="C92" t="inlineStr">
        <is>
          <t>21710</t>
        </is>
      </c>
      <c r="D92" t="inlineStr">
        <is>
          <t>21710</t>
        </is>
      </c>
      <c r="G92" t="inlineStr">
        <is>
          <t>M29111</t>
        </is>
      </c>
      <c r="H92" t="inlineStr">
        <is>
          <t>D0058</t>
        </is>
      </c>
      <c r="I92" t="inlineStr">
        <is>
          <t>D00587K</t>
        </is>
      </c>
      <c r="J92" t="inlineStr">
        <is>
          <t>TRAILER,CARGO</t>
        </is>
      </c>
      <c r="K92" t="inlineStr">
        <is>
          <t>IS</t>
        </is>
      </c>
      <c r="L92" t="inlineStr">
        <is>
          <t>EA</t>
        </is>
      </c>
      <c r="M92" t="inlineStr">
        <is>
          <t>N</t>
        </is>
      </c>
      <c r="N92" t="n">
        <v>0</v>
      </c>
      <c r="O92" t="n">
        <v>3</v>
      </c>
      <c r="P92" t="n">
        <v>3</v>
      </c>
    </row>
    <row r="93">
      <c r="B93" t="n">
        <v>89</v>
      </c>
      <c r="C93" t="inlineStr">
        <is>
          <t>21451</t>
        </is>
      </c>
      <c r="D93" t="inlineStr">
        <is>
          <t>21451</t>
        </is>
      </c>
      <c r="G93" t="inlineStr">
        <is>
          <t>M29111</t>
        </is>
      </c>
      <c r="H93" t="inlineStr">
        <is>
          <t>D0066</t>
        </is>
      </c>
      <c r="I93" t="inlineStr">
        <is>
          <t>D00662B</t>
        </is>
      </c>
      <c r="J93" t="inlineStr">
        <is>
          <t>TOOL KIT,VEHICLE,TA</t>
        </is>
      </c>
      <c r="K93" t="inlineStr">
        <is>
          <t>IS</t>
        </is>
      </c>
      <c r="L93" t="inlineStr">
        <is>
          <t>EA</t>
        </is>
      </c>
      <c r="M93" t="inlineStr">
        <is>
          <t>N</t>
        </is>
      </c>
      <c r="N93" t="n">
        <v>0</v>
      </c>
      <c r="O93" t="n">
        <v>1</v>
      </c>
      <c r="P93" t="n">
        <v>1</v>
      </c>
    </row>
    <row r="94">
      <c r="B94" t="n">
        <v>90</v>
      </c>
      <c r="C94" t="inlineStr">
        <is>
          <t>14345</t>
        </is>
      </c>
      <c r="D94" t="inlineStr">
        <is>
          <t>14345</t>
        </is>
      </c>
      <c r="G94" t="inlineStr">
        <is>
          <t>M29111</t>
        </is>
      </c>
      <c r="H94" t="inlineStr">
        <is>
          <t>E0007</t>
        </is>
      </c>
      <c r="I94" t="inlineStr">
        <is>
          <t>E00077M</t>
        </is>
      </c>
      <c r="J94" t="inlineStr">
        <is>
          <t>FIRING KIT,DEMOLITI - 170109A0000</t>
        </is>
      </c>
      <c r="K94" t="inlineStr">
        <is>
          <t>IS</t>
        </is>
      </c>
      <c r="L94" t="inlineStr">
        <is>
          <t>KT</t>
        </is>
      </c>
      <c r="M94" t="inlineStr">
        <is>
          <t>N</t>
        </is>
      </c>
      <c r="N94" t="n">
        <v>0</v>
      </c>
      <c r="O94" t="n">
        <v>6</v>
      </c>
      <c r="P94" t="n">
        <v>6</v>
      </c>
    </row>
    <row r="95">
      <c r="B95" t="n">
        <v>91</v>
      </c>
      <c r="C95" t="inlineStr">
        <is>
          <t>14345</t>
        </is>
      </c>
      <c r="D95" t="inlineStr">
        <is>
          <t>14345</t>
        </is>
      </c>
      <c r="G95" t="inlineStr">
        <is>
          <t>M29111</t>
        </is>
      </c>
      <c r="H95" t="inlineStr">
        <is>
          <t>E0013</t>
        </is>
      </c>
      <c r="I95" t="inlineStr">
        <is>
          <t>E00132B</t>
        </is>
      </c>
      <c r="J95" t="inlineStr">
        <is>
          <t>TELESCOPE,ARTICULAT - M8541</t>
        </is>
      </c>
      <c r="K95" t="inlineStr">
        <is>
          <t>IS</t>
        </is>
      </c>
      <c r="L95" t="inlineStr">
        <is>
          <t>EA</t>
        </is>
      </c>
      <c r="M95" t="inlineStr">
        <is>
          <t>R</t>
        </is>
      </c>
      <c r="N95" t="n">
        <v>4</v>
      </c>
      <c r="O95" t="n">
        <v>0</v>
      </c>
      <c r="P95" t="n">
        <v>4</v>
      </c>
    </row>
    <row r="96">
      <c r="B96" t="n">
        <v>92</v>
      </c>
      <c r="C96" t="inlineStr">
        <is>
          <t>14345</t>
        </is>
      </c>
      <c r="D96" t="inlineStr">
        <is>
          <t>14345</t>
        </is>
      </c>
      <c r="G96" t="inlineStr">
        <is>
          <t>M29111</t>
        </is>
      </c>
      <c r="H96" t="inlineStr">
        <is>
          <t>E0016</t>
        </is>
      </c>
      <c r="I96" t="inlineStr">
        <is>
          <t>E00162B</t>
        </is>
      </c>
      <c r="J96" t="inlineStr">
        <is>
          <t>TELESCOPE,STRAIGHT - M71</t>
        </is>
      </c>
      <c r="K96" t="inlineStr">
        <is>
          <t>IS</t>
        </is>
      </c>
      <c r="L96" t="inlineStr">
        <is>
          <t>EA</t>
        </is>
      </c>
      <c r="M96" t="inlineStr">
        <is>
          <t>N</t>
        </is>
      </c>
      <c r="N96" t="n">
        <v>0</v>
      </c>
      <c r="O96" t="n">
        <v>4</v>
      </c>
      <c r="P96" t="n">
        <v>4</v>
      </c>
    </row>
    <row r="97">
      <c r="B97" t="n">
        <v>93</v>
      </c>
      <c r="C97" t="inlineStr">
        <is>
          <t>14345</t>
        </is>
      </c>
      <c r="D97" t="inlineStr">
        <is>
          <t>14345</t>
        </is>
      </c>
      <c r="G97" t="inlineStr">
        <is>
          <t>M29111</t>
        </is>
      </c>
      <c r="H97" t="inlineStr">
        <is>
          <t>E0017</t>
        </is>
      </c>
      <c r="I97" t="inlineStr">
        <is>
          <t>E00172B</t>
        </is>
      </c>
      <c r="J97" t="inlineStr">
        <is>
          <t>SIGHT,BORE,OPTICAL - M7</t>
        </is>
      </c>
      <c r="K97" t="inlineStr">
        <is>
          <t>IS</t>
        </is>
      </c>
      <c r="L97" t="inlineStr">
        <is>
          <t>EA</t>
        </is>
      </c>
      <c r="M97" t="inlineStr">
        <is>
          <t>N</t>
        </is>
      </c>
      <c r="N97" t="n">
        <v>45</v>
      </c>
      <c r="O97" t="n">
        <v>0</v>
      </c>
      <c r="P97" t="n">
        <v>45</v>
      </c>
    </row>
    <row r="98">
      <c r="B98" t="n">
        <v>94</v>
      </c>
      <c r="C98" t="inlineStr">
        <is>
          <t>14345</t>
        </is>
      </c>
      <c r="D98" t="inlineStr">
        <is>
          <t>14345</t>
        </is>
      </c>
      <c r="G98" t="inlineStr">
        <is>
          <t>M29111</t>
        </is>
      </c>
      <c r="H98" t="inlineStr">
        <is>
          <t>E0020</t>
        </is>
      </c>
      <c r="I98" t="inlineStr">
        <is>
          <t>E00207B</t>
        </is>
      </c>
      <c r="J98" t="inlineStr">
        <is>
          <t>SIGHT,NIGHT VISION - SSMRNS</t>
        </is>
      </c>
      <c r="K98" t="inlineStr">
        <is>
          <t>IS</t>
        </is>
      </c>
      <c r="L98" t="inlineStr">
        <is>
          <t>EA</t>
        </is>
      </c>
      <c r="M98" t="inlineStr">
        <is>
          <t>R</t>
        </is>
      </c>
      <c r="N98" t="n">
        <v>0</v>
      </c>
      <c r="O98" t="n">
        <v>2</v>
      </c>
      <c r="P98" t="n">
        <v>2</v>
      </c>
    </row>
    <row r="99">
      <c r="B99" t="n">
        <v>95</v>
      </c>
      <c r="C99" t="inlineStr">
        <is>
          <t>14345</t>
        </is>
      </c>
      <c r="D99" t="inlineStr">
        <is>
          <t>14345</t>
        </is>
      </c>
      <c r="G99" t="inlineStr">
        <is>
          <t>M29111</t>
        </is>
      </c>
      <c r="H99" t="inlineStr">
        <is>
          <t>E0027</t>
        </is>
      </c>
      <c r="I99" t="inlineStr">
        <is>
          <t>E00272G</t>
        </is>
      </c>
      <c r="J99" t="inlineStr">
        <is>
          <t>VIEWER,NIGHT VISION - AN/PVS-31D</t>
        </is>
      </c>
      <c r="K99" t="inlineStr">
        <is>
          <t>IS</t>
        </is>
      </c>
      <c r="L99" t="inlineStr">
        <is>
          <t>EA</t>
        </is>
      </c>
      <c r="M99" t="inlineStr">
        <is>
          <t>N</t>
        </is>
      </c>
      <c r="N99" t="n">
        <v>0</v>
      </c>
      <c r="O99" t="n">
        <v>13</v>
      </c>
      <c r="P99" t="n">
        <v>13</v>
      </c>
    </row>
    <row r="100">
      <c r="B100" t="n">
        <v>96</v>
      </c>
      <c r="C100" t="inlineStr">
        <is>
          <t>14345</t>
        </is>
      </c>
      <c r="D100" t="inlineStr">
        <is>
          <t>14345</t>
        </is>
      </c>
      <c r="G100" t="inlineStr">
        <is>
          <t>M29111</t>
        </is>
      </c>
      <c r="H100" t="inlineStr">
        <is>
          <t>E0030</t>
        </is>
      </c>
      <c r="I100" t="inlineStr">
        <is>
          <t>E00302M</t>
        </is>
      </c>
      <c r="J100" t="inlineStr">
        <is>
          <t>PISTOL,9 MILLIMETER - M18</t>
        </is>
      </c>
      <c r="K100" t="inlineStr">
        <is>
          <t>IS</t>
        </is>
      </c>
      <c r="L100" t="inlineStr">
        <is>
          <t>EA</t>
        </is>
      </c>
      <c r="M100" t="inlineStr">
        <is>
          <t>N</t>
        </is>
      </c>
      <c r="N100" t="n">
        <v>3</v>
      </c>
      <c r="O100" t="n">
        <v>0</v>
      </c>
      <c r="P100" t="n">
        <v>3</v>
      </c>
    </row>
    <row r="101">
      <c r="B101" t="n">
        <v>97</v>
      </c>
      <c r="C101" t="inlineStr">
        <is>
          <t>14345</t>
        </is>
      </c>
      <c r="D101" t="inlineStr">
        <is>
          <t>14345</t>
        </is>
      </c>
      <c r="G101" t="inlineStr">
        <is>
          <t>M29111</t>
        </is>
      </c>
      <c r="H101" t="inlineStr">
        <is>
          <t>E0031</t>
        </is>
      </c>
      <c r="I101" t="inlineStr">
        <is>
          <t>E00312G</t>
        </is>
      </c>
      <c r="J101" t="inlineStr">
        <is>
          <t>SURVEILLANCE,THERMA - AN/PAS-29B</t>
        </is>
      </c>
      <c r="K101" t="inlineStr">
        <is>
          <t>IS</t>
        </is>
      </c>
      <c r="L101" t="inlineStr">
        <is>
          <t>EA</t>
        </is>
      </c>
      <c r="M101" t="inlineStr">
        <is>
          <t>N</t>
        </is>
      </c>
      <c r="N101" t="n">
        <v>0</v>
      </c>
      <c r="O101" t="n">
        <v>13</v>
      </c>
      <c r="P101" t="n">
        <v>13</v>
      </c>
    </row>
    <row r="102">
      <c r="B102" t="n">
        <v>98</v>
      </c>
      <c r="C102" t="inlineStr">
        <is>
          <t>14326</t>
        </is>
      </c>
      <c r="D102" t="inlineStr">
        <is>
          <t>14326</t>
        </is>
      </c>
      <c r="G102" t="inlineStr">
        <is>
          <t>M29111</t>
        </is>
      </c>
      <c r="H102" t="inlineStr">
        <is>
          <t>E0039</t>
        </is>
      </c>
      <c r="I102" t="inlineStr">
        <is>
          <t>E00392E</t>
        </is>
      </c>
      <c r="J102" t="inlineStr">
        <is>
          <t>TOOL KIT,EXPLOSIVE</t>
        </is>
      </c>
      <c r="K102" t="inlineStr">
        <is>
          <t>IS</t>
        </is>
      </c>
      <c r="L102" t="inlineStr">
        <is>
          <t>KT</t>
        </is>
      </c>
      <c r="M102" t="inlineStr">
        <is>
          <t>N</t>
        </is>
      </c>
      <c r="N102" t="n">
        <v>0</v>
      </c>
      <c r="O102" t="n">
        <v>13</v>
      </c>
      <c r="P102" t="n">
        <v>13</v>
      </c>
    </row>
    <row r="103">
      <c r="B103" t="n">
        <v>99</v>
      </c>
      <c r="C103" t="inlineStr">
        <is>
          <t>14345</t>
        </is>
      </c>
      <c r="D103" t="inlineStr">
        <is>
          <t>14345</t>
        </is>
      </c>
      <c r="G103" t="inlineStr">
        <is>
          <t>M29111</t>
        </is>
      </c>
      <c r="H103" t="inlineStr">
        <is>
          <t>E0041</t>
        </is>
      </c>
      <c r="I103" t="inlineStr">
        <is>
          <t>E00412B</t>
        </is>
      </c>
      <c r="J103" t="inlineStr">
        <is>
          <t>SIGHT,REFLEX - M571</t>
        </is>
      </c>
      <c r="K103" t="inlineStr">
        <is>
          <t>IS</t>
        </is>
      </c>
      <c r="L103" t="inlineStr">
        <is>
          <t>EA</t>
        </is>
      </c>
      <c r="M103" t="inlineStr">
        <is>
          <t>N</t>
        </is>
      </c>
      <c r="N103" t="n">
        <v>2</v>
      </c>
      <c r="O103" t="n">
        <v>0</v>
      </c>
      <c r="P103" t="n">
        <v>2</v>
      </c>
    </row>
    <row r="104">
      <c r="B104" t="n">
        <v>100</v>
      </c>
      <c r="C104" t="inlineStr">
        <is>
          <t>14326</t>
        </is>
      </c>
      <c r="D104" t="inlineStr">
        <is>
          <t>14326</t>
        </is>
      </c>
      <c r="G104" t="inlineStr">
        <is>
          <t>M29111</t>
        </is>
      </c>
      <c r="H104" t="inlineStr">
        <is>
          <t>E0046</t>
        </is>
      </c>
      <c r="I104" t="inlineStr">
        <is>
          <t>E00462E</t>
        </is>
      </c>
      <c r="J104" t="inlineStr">
        <is>
          <t>DISASSEMBLY KIT,EXP - EOD1</t>
        </is>
      </c>
      <c r="K104" t="inlineStr">
        <is>
          <t>IS</t>
        </is>
      </c>
      <c r="L104" t="inlineStr">
        <is>
          <t>KT</t>
        </is>
      </c>
      <c r="M104" t="inlineStr">
        <is>
          <t>N</t>
        </is>
      </c>
      <c r="N104" t="n">
        <v>0</v>
      </c>
      <c r="O104" t="n">
        <v>1</v>
      </c>
      <c r="P104" t="n">
        <v>1</v>
      </c>
    </row>
    <row r="105">
      <c r="B105" t="n">
        <v>101</v>
      </c>
      <c r="C105" t="inlineStr">
        <is>
          <t>14326</t>
        </is>
      </c>
      <c r="D105" t="inlineStr">
        <is>
          <t>14326</t>
        </is>
      </c>
      <c r="G105" t="inlineStr">
        <is>
          <t>M29111</t>
        </is>
      </c>
      <c r="H105" t="inlineStr">
        <is>
          <t>E0047</t>
        </is>
      </c>
      <c r="I105" t="inlineStr">
        <is>
          <t>E00472E</t>
        </is>
      </c>
      <c r="J105" t="inlineStr">
        <is>
          <t>TOOL KIT,GENERAL PU</t>
        </is>
      </c>
      <c r="K105" t="inlineStr">
        <is>
          <t>IS</t>
        </is>
      </c>
      <c r="L105" t="inlineStr">
        <is>
          <t>KT</t>
        </is>
      </c>
      <c r="M105" t="inlineStr">
        <is>
          <t>N</t>
        </is>
      </c>
      <c r="N105" t="n">
        <v>0</v>
      </c>
      <c r="O105" t="n">
        <v>1</v>
      </c>
      <c r="P105" t="n">
        <v>1</v>
      </c>
    </row>
    <row r="106">
      <c r="B106" t="n">
        <v>102</v>
      </c>
      <c r="C106" t="inlineStr">
        <is>
          <t>14326</t>
        </is>
      </c>
      <c r="D106" t="inlineStr">
        <is>
          <t>14326</t>
        </is>
      </c>
      <c r="G106" t="inlineStr">
        <is>
          <t>M29111</t>
        </is>
      </c>
      <c r="H106" t="inlineStr">
        <is>
          <t>E0049</t>
        </is>
      </c>
      <c r="I106" t="inlineStr">
        <is>
          <t>E00492E</t>
        </is>
      </c>
      <c r="J106" t="inlineStr">
        <is>
          <t>KIT,TOOL,IED,EOD</t>
        </is>
      </c>
      <c r="K106" t="inlineStr">
        <is>
          <t>IS</t>
        </is>
      </c>
      <c r="L106" t="inlineStr">
        <is>
          <t>KT</t>
        </is>
      </c>
      <c r="M106" t="inlineStr">
        <is>
          <t>N</t>
        </is>
      </c>
      <c r="N106" t="n">
        <v>0</v>
      </c>
      <c r="O106" t="n">
        <v>2</v>
      </c>
      <c r="P106" t="n">
        <v>2</v>
      </c>
    </row>
    <row r="107">
      <c r="B107" t="n">
        <v>103</v>
      </c>
      <c r="C107" t="inlineStr">
        <is>
          <t>14326</t>
        </is>
      </c>
      <c r="D107" t="inlineStr">
        <is>
          <t>14326</t>
        </is>
      </c>
      <c r="G107" t="inlineStr">
        <is>
          <t>M29111</t>
        </is>
      </c>
      <c r="H107" t="inlineStr">
        <is>
          <t>E0050</t>
        </is>
      </c>
      <c r="I107" t="inlineStr">
        <is>
          <t>E00502E</t>
        </is>
      </c>
      <c r="J107" t="inlineStr">
        <is>
          <t>BAYONET-KNIFE - OKC3S</t>
        </is>
      </c>
      <c r="K107" t="inlineStr">
        <is>
          <t>IS</t>
        </is>
      </c>
      <c r="L107" t="inlineStr">
        <is>
          <t>EA</t>
        </is>
      </c>
      <c r="M107" t="inlineStr">
        <is>
          <t>N</t>
        </is>
      </c>
      <c r="N107" t="n">
        <v>85</v>
      </c>
      <c r="O107" t="n">
        <v>0</v>
      </c>
      <c r="P107" t="n">
        <v>85</v>
      </c>
    </row>
    <row r="108">
      <c r="B108" t="n">
        <v>104</v>
      </c>
      <c r="C108" t="inlineStr">
        <is>
          <t>14326</t>
        </is>
      </c>
      <c r="D108" t="inlineStr">
        <is>
          <t>14326</t>
        </is>
      </c>
      <c r="G108" t="inlineStr">
        <is>
          <t>M29111</t>
        </is>
      </c>
      <c r="H108" t="inlineStr">
        <is>
          <t>E0077</t>
        </is>
      </c>
      <c r="I108" t="inlineStr">
        <is>
          <t>E00772E</t>
        </is>
      </c>
      <c r="J108" t="inlineStr">
        <is>
          <t>DECISION SUPPORT - 8591100</t>
        </is>
      </c>
      <c r="K108" t="inlineStr">
        <is>
          <t>IS</t>
        </is>
      </c>
      <c r="L108" t="inlineStr">
        <is>
          <t>AY</t>
        </is>
      </c>
      <c r="M108" t="inlineStr">
        <is>
          <t>N</t>
        </is>
      </c>
      <c r="N108" t="n">
        <v>0</v>
      </c>
      <c r="O108" t="n">
        <v>4</v>
      </c>
      <c r="P108" t="n">
        <v>4</v>
      </c>
    </row>
    <row r="109">
      <c r="B109" t="n">
        <v>105</v>
      </c>
      <c r="C109" t="inlineStr">
        <is>
          <t>14345</t>
        </is>
      </c>
      <c r="D109" t="inlineStr">
        <is>
          <t>14345</t>
        </is>
      </c>
      <c r="G109" t="inlineStr">
        <is>
          <t>M29111</t>
        </is>
      </c>
      <c r="H109" t="inlineStr">
        <is>
          <t>E0081</t>
        </is>
      </c>
      <c r="I109" t="inlineStr">
        <is>
          <t>E00817B</t>
        </is>
      </c>
      <c r="J109" t="inlineStr">
        <is>
          <t>MOUNT,MACHINE GUN - M35</t>
        </is>
      </c>
      <c r="K109" t="inlineStr">
        <is>
          <t>IS</t>
        </is>
      </c>
      <c r="L109" t="inlineStr">
        <is>
          <t>EA</t>
        </is>
      </c>
      <c r="M109" t="inlineStr">
        <is>
          <t>N</t>
        </is>
      </c>
      <c r="N109" t="n">
        <v>0</v>
      </c>
      <c r="O109" t="n">
        <v>0</v>
      </c>
      <c r="P109" t="n">
        <v>0</v>
      </c>
    </row>
    <row r="110">
      <c r="B110" t="n">
        <v>106</v>
      </c>
      <c r="C110" t="inlineStr">
        <is>
          <t>14345</t>
        </is>
      </c>
      <c r="D110" t="inlineStr">
        <is>
          <t>14345</t>
        </is>
      </c>
      <c r="G110" t="inlineStr">
        <is>
          <t>M29111</t>
        </is>
      </c>
      <c r="H110" t="inlineStr">
        <is>
          <t>E0082</t>
        </is>
      </c>
      <c r="I110" t="inlineStr">
        <is>
          <t>E00822B</t>
        </is>
      </c>
      <c r="J110" t="inlineStr">
        <is>
          <t>SIGHT UNIT - TA11SDO</t>
        </is>
      </c>
      <c r="K110" t="inlineStr">
        <is>
          <t>IS</t>
        </is>
      </c>
      <c r="L110" t="inlineStr">
        <is>
          <t>EA</t>
        </is>
      </c>
      <c r="M110" t="inlineStr">
        <is>
          <t>N</t>
        </is>
      </c>
      <c r="N110" t="n">
        <v>0</v>
      </c>
      <c r="O110" t="n">
        <v>0</v>
      </c>
      <c r="P110" t="n">
        <v>0</v>
      </c>
    </row>
    <row r="111">
      <c r="B111" t="n">
        <v>107</v>
      </c>
      <c r="C111" t="inlineStr">
        <is>
          <t>14326</t>
        </is>
      </c>
      <c r="D111" t="inlineStr">
        <is>
          <t>14326</t>
        </is>
      </c>
      <c r="G111" t="inlineStr">
        <is>
          <t>M29111</t>
        </is>
      </c>
      <c r="H111" t="inlineStr">
        <is>
          <t>E0085</t>
        </is>
      </c>
      <c r="I111" t="inlineStr">
        <is>
          <t>E00852E</t>
        </is>
      </c>
      <c r="J111" t="inlineStr">
        <is>
          <t>GAGE SET,CANNON BOR - M1021</t>
        </is>
      </c>
      <c r="K111" t="inlineStr">
        <is>
          <t>IS</t>
        </is>
      </c>
      <c r="L111" t="inlineStr">
        <is>
          <t>KT</t>
        </is>
      </c>
      <c r="M111" t="inlineStr">
        <is>
          <t>N</t>
        </is>
      </c>
      <c r="N111" t="n">
        <v>0</v>
      </c>
      <c r="O111" t="n">
        <v>2</v>
      </c>
      <c r="P111" t="n">
        <v>2</v>
      </c>
    </row>
    <row r="112">
      <c r="B112" t="n">
        <v>108</v>
      </c>
      <c r="C112" t="inlineStr">
        <is>
          <t>14345</t>
        </is>
      </c>
      <c r="D112" t="inlineStr">
        <is>
          <t>14345</t>
        </is>
      </c>
      <c r="G112" t="inlineStr">
        <is>
          <t>M29111</t>
        </is>
      </c>
      <c r="H112" t="inlineStr">
        <is>
          <t>E0088</t>
        </is>
      </c>
      <c r="I112" t="inlineStr">
        <is>
          <t>E00887B</t>
        </is>
      </c>
      <c r="J112" t="inlineStr">
        <is>
          <t>SIGHT UNIT - TA648MDO</t>
        </is>
      </c>
      <c r="K112" t="inlineStr">
        <is>
          <t>IS</t>
        </is>
      </c>
      <c r="L112" t="inlineStr">
        <is>
          <t>EA</t>
        </is>
      </c>
      <c r="M112" t="inlineStr">
        <is>
          <t>N</t>
        </is>
      </c>
      <c r="N112" t="n">
        <v>0</v>
      </c>
      <c r="O112" t="n">
        <v>0</v>
      </c>
      <c r="P112" t="n">
        <v>0</v>
      </c>
    </row>
    <row r="113">
      <c r="B113" t="n">
        <v>109</v>
      </c>
      <c r="C113" t="inlineStr">
        <is>
          <t>14345</t>
        </is>
      </c>
      <c r="D113" t="inlineStr">
        <is>
          <t>14345</t>
        </is>
      </c>
      <c r="G113" t="inlineStr">
        <is>
          <t>M29111</t>
        </is>
      </c>
      <c r="H113" t="inlineStr">
        <is>
          <t>E0090</t>
        </is>
      </c>
      <c r="I113" t="inlineStr">
        <is>
          <t>E00907G</t>
        </is>
      </c>
      <c r="J113" t="inlineStr">
        <is>
          <t>TRANSMITTER GROUP C - AN/PLT-4</t>
        </is>
      </c>
      <c r="K113" t="inlineStr">
        <is>
          <t>IS</t>
        </is>
      </c>
      <c r="L113" t="inlineStr">
        <is>
          <t>SE</t>
        </is>
      </c>
      <c r="M113" t="inlineStr">
        <is>
          <t>R</t>
        </is>
      </c>
      <c r="N113" t="n">
        <v>0</v>
      </c>
      <c r="O113" t="n">
        <v>2</v>
      </c>
      <c r="P113" t="n">
        <v>2</v>
      </c>
    </row>
    <row r="114">
      <c r="B114" t="n">
        <v>110</v>
      </c>
      <c r="C114" t="inlineStr">
        <is>
          <t>14326</t>
        </is>
      </c>
      <c r="D114" t="inlineStr">
        <is>
          <t>14326</t>
        </is>
      </c>
      <c r="G114" t="inlineStr">
        <is>
          <t>M29111</t>
        </is>
      </c>
      <c r="H114" t="inlineStr">
        <is>
          <t>E0094</t>
        </is>
      </c>
      <c r="I114" t="inlineStr">
        <is>
          <t>E00942E</t>
        </is>
      </c>
      <c r="J114" t="inlineStr">
        <is>
          <t>TOOL KIT,EXPLOSIVE - MK 178 MOD 0</t>
        </is>
      </c>
      <c r="K114" t="inlineStr">
        <is>
          <t>IS</t>
        </is>
      </c>
      <c r="L114" t="inlineStr">
        <is>
          <t>EA</t>
        </is>
      </c>
      <c r="M114" t="inlineStr">
        <is>
          <t>N</t>
        </is>
      </c>
      <c r="N114" t="n">
        <v>0</v>
      </c>
      <c r="O114" t="n">
        <v>4</v>
      </c>
      <c r="P114" t="n">
        <v>4</v>
      </c>
    </row>
    <row r="115">
      <c r="B115" t="n">
        <v>111</v>
      </c>
      <c r="C115" t="inlineStr">
        <is>
          <t>14345</t>
        </is>
      </c>
      <c r="D115" t="inlineStr">
        <is>
          <t>14345</t>
        </is>
      </c>
      <c r="G115" t="inlineStr">
        <is>
          <t>M29111</t>
        </is>
      </c>
      <c r="H115" t="inlineStr">
        <is>
          <t>E0099</t>
        </is>
      </c>
      <c r="I115" t="inlineStr">
        <is>
          <t>E00992B</t>
        </is>
      </c>
      <c r="J115" t="inlineStr">
        <is>
          <t>SIGHT,REFLEX - 552.65A</t>
        </is>
      </c>
      <c r="K115" t="inlineStr">
        <is>
          <t>IS</t>
        </is>
      </c>
      <c r="L115" t="inlineStr">
        <is>
          <t>EA</t>
        </is>
      </c>
      <c r="M115" t="inlineStr">
        <is>
          <t>N</t>
        </is>
      </c>
      <c r="N115" t="n">
        <v>4</v>
      </c>
      <c r="O115" t="n">
        <v>0</v>
      </c>
      <c r="P115" t="n">
        <v>4</v>
      </c>
    </row>
    <row r="116">
      <c r="B116" t="n">
        <v>112</v>
      </c>
      <c r="C116" t="inlineStr">
        <is>
          <t>14345</t>
        </is>
      </c>
      <c r="D116" t="inlineStr">
        <is>
          <t>14345</t>
        </is>
      </c>
      <c r="G116" t="inlineStr">
        <is>
          <t>M29111</t>
        </is>
      </c>
      <c r="H116" t="inlineStr">
        <is>
          <t>E0100</t>
        </is>
      </c>
      <c r="I116" t="inlineStr">
        <is>
          <t>E01002M</t>
        </is>
      </c>
      <c r="J116" t="inlineStr">
        <is>
          <t>RIFLE,5.56 MILLIMET - M27 IAR</t>
        </is>
      </c>
      <c r="K116" t="inlineStr">
        <is>
          <t>IS</t>
        </is>
      </c>
      <c r="L116" t="inlineStr">
        <is>
          <t>EA</t>
        </is>
      </c>
      <c r="M116" t="inlineStr">
        <is>
          <t>N</t>
        </is>
      </c>
      <c r="N116" t="n">
        <v>0</v>
      </c>
      <c r="O116" t="n">
        <v>0</v>
      </c>
      <c r="P116" t="n">
        <v>0</v>
      </c>
    </row>
    <row r="117">
      <c r="B117" t="n">
        <v>113</v>
      </c>
      <c r="C117" t="inlineStr">
        <is>
          <t>14345</t>
        </is>
      </c>
      <c r="D117" t="inlineStr">
        <is>
          <t>14345</t>
        </is>
      </c>
      <c r="G117" t="inlineStr">
        <is>
          <t>M29111</t>
        </is>
      </c>
      <c r="H117" t="inlineStr">
        <is>
          <t>E0103</t>
        </is>
      </c>
      <c r="I117" t="inlineStr">
        <is>
          <t>E01032M</t>
        </is>
      </c>
      <c r="J117" t="inlineStr">
        <is>
          <t>RIFLE,7.62 MILLIMET - M110</t>
        </is>
      </c>
      <c r="K117" t="inlineStr">
        <is>
          <t>IS</t>
        </is>
      </c>
      <c r="L117" t="inlineStr">
        <is>
          <t>EA</t>
        </is>
      </c>
      <c r="M117" t="inlineStr">
        <is>
          <t>R</t>
        </is>
      </c>
      <c r="N117" t="n">
        <v>0</v>
      </c>
      <c r="O117" t="n">
        <v>2</v>
      </c>
      <c r="P117" t="n">
        <v>2</v>
      </c>
    </row>
    <row r="118">
      <c r="B118" t="n">
        <v>114</v>
      </c>
      <c r="C118" t="inlineStr">
        <is>
          <t>14345</t>
        </is>
      </c>
      <c r="D118" t="inlineStr">
        <is>
          <t>14345</t>
        </is>
      </c>
      <c r="G118" t="inlineStr">
        <is>
          <t>M29111</t>
        </is>
      </c>
      <c r="H118" t="inlineStr">
        <is>
          <t>E0110</t>
        </is>
      </c>
      <c r="I118" t="inlineStr">
        <is>
          <t>E01107G</t>
        </is>
      </c>
      <c r="J118" t="inlineStr">
        <is>
          <t>UNMANNED VEHICLE,GR - 4218000-00424</t>
        </is>
      </c>
      <c r="K118" t="inlineStr">
        <is>
          <t>IS</t>
        </is>
      </c>
      <c r="L118" t="inlineStr">
        <is>
          <t>EA</t>
        </is>
      </c>
      <c r="M118" t="inlineStr">
        <is>
          <t>N</t>
        </is>
      </c>
      <c r="N118" t="n">
        <v>0</v>
      </c>
      <c r="O118" t="n">
        <v>3</v>
      </c>
      <c r="P118" t="n">
        <v>3</v>
      </c>
    </row>
    <row r="119">
      <c r="B119" t="n">
        <v>115</v>
      </c>
      <c r="C119" t="inlineStr">
        <is>
          <t>14345</t>
        </is>
      </c>
      <c r="D119" t="inlineStr">
        <is>
          <t>14345</t>
        </is>
      </c>
      <c r="G119" t="inlineStr">
        <is>
          <t>M29111</t>
        </is>
      </c>
      <c r="H119" t="inlineStr">
        <is>
          <t>E0113</t>
        </is>
      </c>
      <c r="I119" t="inlineStr">
        <is>
          <t>E01132M</t>
        </is>
      </c>
      <c r="J119" t="inlineStr">
        <is>
          <t>SILENCER,GUN - SOCOM762-RC-DE</t>
        </is>
      </c>
      <c r="K119" t="inlineStr">
        <is>
          <t>DP</t>
        </is>
      </c>
      <c r="L119" t="inlineStr">
        <is>
          <t>EA</t>
        </is>
      </c>
      <c r="M119" t="inlineStr">
        <is>
          <t>N</t>
        </is>
      </c>
      <c r="N119" t="n">
        <v>0</v>
      </c>
      <c r="O119" t="n">
        <v>0</v>
      </c>
      <c r="P119" t="n">
        <v>0</v>
      </c>
    </row>
    <row r="120">
      <c r="B120" t="n">
        <v>116</v>
      </c>
      <c r="C120" t="inlineStr">
        <is>
          <t>14345</t>
        </is>
      </c>
      <c r="D120" t="inlineStr">
        <is>
          <t>14345</t>
        </is>
      </c>
      <c r="G120" t="inlineStr">
        <is>
          <t>M29111</t>
        </is>
      </c>
      <c r="H120" t="inlineStr">
        <is>
          <t>E0114</t>
        </is>
      </c>
      <c r="I120" t="inlineStr">
        <is>
          <t>E01142B</t>
        </is>
      </c>
      <c r="J120" t="inlineStr">
        <is>
          <t>SIGHT,BORE,OPTICAL - M83</t>
        </is>
      </c>
      <c r="K120" t="inlineStr">
        <is>
          <t>IS</t>
        </is>
      </c>
      <c r="L120" t="inlineStr">
        <is>
          <t>EA</t>
        </is>
      </c>
      <c r="M120" t="inlineStr">
        <is>
          <t>N</t>
        </is>
      </c>
      <c r="N120" t="n">
        <v>0</v>
      </c>
      <c r="O120" t="n">
        <v>0</v>
      </c>
      <c r="P120" t="n">
        <v>0</v>
      </c>
    </row>
    <row r="121">
      <c r="B121" t="n">
        <v>117</v>
      </c>
      <c r="C121" t="inlineStr">
        <is>
          <t>14345</t>
        </is>
      </c>
      <c r="D121" t="inlineStr">
        <is>
          <t>14345</t>
        </is>
      </c>
      <c r="G121" t="inlineStr">
        <is>
          <t>M29111</t>
        </is>
      </c>
      <c r="H121" t="inlineStr">
        <is>
          <t>E0127</t>
        </is>
      </c>
      <c r="I121" t="inlineStr">
        <is>
          <t>E01272M</t>
        </is>
      </c>
      <c r="J121" t="inlineStr">
        <is>
          <t>SUPPRESSOR,SMALL AR - 96062-2</t>
        </is>
      </c>
      <c r="K121" t="inlineStr">
        <is>
          <t>IS</t>
        </is>
      </c>
      <c r="L121" t="inlineStr">
        <is>
          <t>EA</t>
        </is>
      </c>
      <c r="M121" t="inlineStr">
        <is>
          <t>N</t>
        </is>
      </c>
      <c r="N121" t="n">
        <v>4</v>
      </c>
      <c r="O121" t="n">
        <v>0</v>
      </c>
      <c r="P121" t="n">
        <v>4</v>
      </c>
    </row>
    <row r="122">
      <c r="B122" t="n">
        <v>118</v>
      </c>
      <c r="C122" t="inlineStr">
        <is>
          <t>14345</t>
        </is>
      </c>
      <c r="D122" t="inlineStr">
        <is>
          <t>14345</t>
        </is>
      </c>
      <c r="G122" t="inlineStr">
        <is>
          <t>M29111</t>
        </is>
      </c>
      <c r="H122" t="inlineStr">
        <is>
          <t>E0131</t>
        </is>
      </c>
      <c r="I122" t="inlineStr">
        <is>
          <t>E01312M</t>
        </is>
      </c>
      <c r="J122" t="inlineStr">
        <is>
          <t>SUPPRESSOR,SMALL AR</t>
        </is>
      </c>
      <c r="K122" t="inlineStr">
        <is>
          <t>IS</t>
        </is>
      </c>
      <c r="L122" t="inlineStr">
        <is>
          <t>EA</t>
        </is>
      </c>
      <c r="M122" t="inlineStr">
        <is>
          <t>N</t>
        </is>
      </c>
      <c r="N122" t="n">
        <v>0</v>
      </c>
      <c r="O122" t="n">
        <v>2</v>
      </c>
      <c r="P122" t="n">
        <v>2</v>
      </c>
    </row>
    <row r="123">
      <c r="B123" t="n">
        <v>119</v>
      </c>
      <c r="C123" t="inlineStr">
        <is>
          <t>14345</t>
        </is>
      </c>
      <c r="D123" t="inlineStr">
        <is>
          <t>14345</t>
        </is>
      </c>
      <c r="G123" t="inlineStr">
        <is>
          <t>M29111</t>
        </is>
      </c>
      <c r="H123" t="inlineStr">
        <is>
          <t>E0135</t>
        </is>
      </c>
      <c r="I123" t="inlineStr">
        <is>
          <t>E01352B</t>
        </is>
      </c>
      <c r="J123" t="inlineStr">
        <is>
          <t>GAGE KIT,SMALL ARMS</t>
        </is>
      </c>
      <c r="K123" t="inlineStr">
        <is>
          <t>IS</t>
        </is>
      </c>
      <c r="L123" t="inlineStr">
        <is>
          <t>KT</t>
        </is>
      </c>
      <c r="M123" t="inlineStr">
        <is>
          <t>N</t>
        </is>
      </c>
      <c r="N123" t="n">
        <v>0</v>
      </c>
      <c r="O123" t="n">
        <v>2</v>
      </c>
      <c r="P123" t="n">
        <v>2</v>
      </c>
    </row>
    <row r="124">
      <c r="B124" t="n">
        <v>120</v>
      </c>
      <c r="C124" t="inlineStr">
        <is>
          <t>14326</t>
        </is>
      </c>
      <c r="D124" t="inlineStr">
        <is>
          <t>14326</t>
        </is>
      </c>
      <c r="G124" t="inlineStr">
        <is>
          <t>M29111</t>
        </is>
      </c>
      <c r="H124" t="inlineStr">
        <is>
          <t>E0139</t>
        </is>
      </c>
      <c r="I124" t="inlineStr">
        <is>
          <t>E01392E</t>
        </is>
      </c>
      <c r="J124" t="inlineStr">
        <is>
          <t>BORESCOPE,VIDEO - M1026A1</t>
        </is>
      </c>
      <c r="K124" t="inlineStr">
        <is>
          <t>IS</t>
        </is>
      </c>
      <c r="L124" t="inlineStr">
        <is>
          <t>EA</t>
        </is>
      </c>
      <c r="M124" t="inlineStr">
        <is>
          <t>N</t>
        </is>
      </c>
      <c r="N124" t="n">
        <v>0</v>
      </c>
      <c r="O124" t="n">
        <v>1</v>
      </c>
      <c r="P124" t="n">
        <v>1</v>
      </c>
    </row>
    <row r="125">
      <c r="B125" t="n">
        <v>121</v>
      </c>
      <c r="C125" t="inlineStr">
        <is>
          <t>14345</t>
        </is>
      </c>
      <c r="D125" t="inlineStr">
        <is>
          <t>14345</t>
        </is>
      </c>
      <c r="G125" t="inlineStr">
        <is>
          <t>M29111</t>
        </is>
      </c>
      <c r="H125" t="inlineStr">
        <is>
          <t>E0153</t>
        </is>
      </c>
      <c r="I125" t="inlineStr">
        <is>
          <t>E01537G</t>
        </is>
      </c>
      <c r="J125" t="inlineStr">
        <is>
          <t>RADIAC SET - AN/PDX-2</t>
        </is>
      </c>
      <c r="K125" t="inlineStr">
        <is>
          <t>IS</t>
        </is>
      </c>
      <c r="L125" t="inlineStr">
        <is>
          <t>SE</t>
        </is>
      </c>
      <c r="M125" t="inlineStr">
        <is>
          <t>R</t>
        </is>
      </c>
      <c r="N125" t="n">
        <v>0</v>
      </c>
      <c r="O125" t="n">
        <v>1</v>
      </c>
      <c r="P125" t="n">
        <v>1</v>
      </c>
    </row>
    <row r="126">
      <c r="B126" t="n">
        <v>122</v>
      </c>
      <c r="C126" t="inlineStr">
        <is>
          <t>14345</t>
        </is>
      </c>
      <c r="D126" t="inlineStr">
        <is>
          <t>14345</t>
        </is>
      </c>
      <c r="G126" t="inlineStr">
        <is>
          <t>M29111</t>
        </is>
      </c>
      <c r="H126" t="inlineStr">
        <is>
          <t>E0155</t>
        </is>
      </c>
      <c r="I126" t="inlineStr">
        <is>
          <t>E01552B</t>
        </is>
      </c>
      <c r="J126" t="inlineStr">
        <is>
          <t>N\A</t>
        </is>
      </c>
      <c r="K126" t="inlineStr">
        <is>
          <t>IS</t>
        </is>
      </c>
      <c r="L126" t="inlineStr"/>
      <c r="M126" t="inlineStr">
        <is>
          <t>N</t>
        </is>
      </c>
      <c r="N126" t="n">
        <v>0</v>
      </c>
      <c r="O126" t="n">
        <v>1</v>
      </c>
      <c r="P126" t="n">
        <v>1</v>
      </c>
    </row>
    <row r="127">
      <c r="B127" t="n">
        <v>123</v>
      </c>
      <c r="C127" t="inlineStr">
        <is>
          <t>14345</t>
        </is>
      </c>
      <c r="D127" t="inlineStr">
        <is>
          <t>14345</t>
        </is>
      </c>
      <c r="G127" t="inlineStr">
        <is>
          <t>M29111</t>
        </is>
      </c>
      <c r="H127" t="inlineStr">
        <is>
          <t>E0158</t>
        </is>
      </c>
      <c r="I127" t="inlineStr">
        <is>
          <t>E01582B</t>
        </is>
      </c>
      <c r="J127" t="inlineStr">
        <is>
          <t>TOOL AND EQUIPMENT - HAL SO1/00</t>
        </is>
      </c>
      <c r="K127" t="inlineStr">
        <is>
          <t>IS</t>
        </is>
      </c>
      <c r="L127" t="inlineStr">
        <is>
          <t>EA</t>
        </is>
      </c>
      <c r="M127" t="inlineStr">
        <is>
          <t>N</t>
        </is>
      </c>
      <c r="N127" t="n">
        <v>0</v>
      </c>
      <c r="O127" t="n">
        <v>6</v>
      </c>
      <c r="P127" t="n">
        <v>6</v>
      </c>
    </row>
    <row r="128">
      <c r="B128" t="n">
        <v>124</v>
      </c>
      <c r="C128" t="inlineStr">
        <is>
          <t>14345</t>
        </is>
      </c>
      <c r="D128" t="inlineStr">
        <is>
          <t>14345</t>
        </is>
      </c>
      <c r="G128" t="inlineStr">
        <is>
          <t>M29111</t>
        </is>
      </c>
      <c r="H128" t="inlineStr">
        <is>
          <t>E0173</t>
        </is>
      </c>
      <c r="I128" t="inlineStr">
        <is>
          <t>E01732G</t>
        </is>
      </c>
      <c r="J128" t="inlineStr">
        <is>
          <t>ILLUMINATOR,INTEGRA</t>
        </is>
      </c>
      <c r="K128" t="inlineStr">
        <is>
          <t>IS</t>
        </is>
      </c>
      <c r="L128" t="inlineStr">
        <is>
          <t>EA</t>
        </is>
      </c>
      <c r="M128" t="inlineStr">
        <is>
          <t>N</t>
        </is>
      </c>
      <c r="N128" t="n">
        <v>0</v>
      </c>
      <c r="O128" t="n">
        <v>0</v>
      </c>
      <c r="P128" t="n">
        <v>0</v>
      </c>
    </row>
    <row r="129">
      <c r="B129" t="n">
        <v>125</v>
      </c>
      <c r="C129" t="inlineStr">
        <is>
          <t>14345</t>
        </is>
      </c>
      <c r="D129" t="inlineStr">
        <is>
          <t>14345</t>
        </is>
      </c>
      <c r="G129" t="inlineStr">
        <is>
          <t>M29111</t>
        </is>
      </c>
      <c r="H129" t="inlineStr">
        <is>
          <t>E0185</t>
        </is>
      </c>
      <c r="I129" t="inlineStr">
        <is>
          <t>E01852G</t>
        </is>
      </c>
      <c r="J129" t="inlineStr">
        <is>
          <t>X-RAY APPARATUS,RAD - SPSPRX20000</t>
        </is>
      </c>
      <c r="K129" t="inlineStr">
        <is>
          <t>IS</t>
        </is>
      </c>
      <c r="L129" t="inlineStr">
        <is>
          <t>EA</t>
        </is>
      </c>
      <c r="M129" t="inlineStr">
        <is>
          <t>N</t>
        </is>
      </c>
      <c r="N129" t="n">
        <v>0</v>
      </c>
      <c r="O129" t="n">
        <v>4</v>
      </c>
      <c r="P129" t="n">
        <v>4</v>
      </c>
    </row>
    <row r="130">
      <c r="B130" t="n">
        <v>126</v>
      </c>
      <c r="C130" t="inlineStr">
        <is>
          <t>14345</t>
        </is>
      </c>
      <c r="D130" t="inlineStr">
        <is>
          <t>14345</t>
        </is>
      </c>
      <c r="G130" t="inlineStr">
        <is>
          <t>M29111</t>
        </is>
      </c>
      <c r="H130" t="inlineStr">
        <is>
          <t>E0186</t>
        </is>
      </c>
      <c r="I130" t="inlineStr">
        <is>
          <t>E01862G</t>
        </is>
      </c>
      <c r="J130" t="inlineStr">
        <is>
          <t>VIDEO INSPECTION KI - CORE5032</t>
        </is>
      </c>
      <c r="K130" t="inlineStr">
        <is>
          <t>IS</t>
        </is>
      </c>
      <c r="L130" t="inlineStr">
        <is>
          <t>KT</t>
        </is>
      </c>
      <c r="M130" t="inlineStr">
        <is>
          <t>N</t>
        </is>
      </c>
      <c r="N130" t="n">
        <v>0</v>
      </c>
      <c r="O130" t="n">
        <v>4</v>
      </c>
      <c r="P130" t="n">
        <v>4</v>
      </c>
    </row>
    <row r="131">
      <c r="B131" t="n">
        <v>127</v>
      </c>
      <c r="C131" t="inlineStr">
        <is>
          <t>14345</t>
        </is>
      </c>
      <c r="D131" t="inlineStr">
        <is>
          <t>14345</t>
        </is>
      </c>
      <c r="G131" t="inlineStr">
        <is>
          <t>M29111</t>
        </is>
      </c>
      <c r="H131" t="inlineStr">
        <is>
          <t>E0187</t>
        </is>
      </c>
      <c r="I131" t="inlineStr">
        <is>
          <t>E01877B</t>
        </is>
      </c>
      <c r="J131" t="inlineStr">
        <is>
          <t>SIGHT,NIGHT VISION - 1019765-101</t>
        </is>
      </c>
      <c r="K131" t="inlineStr">
        <is>
          <t>IS</t>
        </is>
      </c>
      <c r="L131" t="inlineStr">
        <is>
          <t>KT</t>
        </is>
      </c>
      <c r="M131" t="inlineStr">
        <is>
          <t>R</t>
        </is>
      </c>
      <c r="N131" t="n">
        <v>0</v>
      </c>
      <c r="O131" t="n">
        <v>0</v>
      </c>
      <c r="P131" t="n">
        <v>0</v>
      </c>
    </row>
    <row r="132">
      <c r="B132" t="n">
        <v>128</v>
      </c>
      <c r="C132" t="inlineStr">
        <is>
          <t>14345</t>
        </is>
      </c>
      <c r="D132" t="inlineStr">
        <is>
          <t>14345</t>
        </is>
      </c>
      <c r="G132" t="inlineStr">
        <is>
          <t>M29111</t>
        </is>
      </c>
      <c r="H132" t="inlineStr">
        <is>
          <t>E0189</t>
        </is>
      </c>
      <c r="I132" t="inlineStr">
        <is>
          <t>E01897G</t>
        </is>
      </c>
      <c r="J132" t="inlineStr">
        <is>
          <t>UNMANNED VEHICLE,GR - MK2 MOD0/1</t>
        </is>
      </c>
      <c r="K132" t="inlineStr">
        <is>
          <t>IS</t>
        </is>
      </c>
      <c r="L132" t="inlineStr">
        <is>
          <t>EA</t>
        </is>
      </c>
      <c r="M132" t="inlineStr">
        <is>
          <t>N</t>
        </is>
      </c>
      <c r="N132" t="n">
        <v>0</v>
      </c>
      <c r="O132" t="n">
        <v>2</v>
      </c>
      <c r="P132" t="n">
        <v>2</v>
      </c>
    </row>
    <row r="133">
      <c r="B133" t="n">
        <v>129</v>
      </c>
      <c r="C133" t="inlineStr">
        <is>
          <t>14345</t>
        </is>
      </c>
      <c r="D133" t="inlineStr">
        <is>
          <t>14345</t>
        </is>
      </c>
      <c r="G133" t="inlineStr">
        <is>
          <t>M29111</t>
        </is>
      </c>
      <c r="H133" t="inlineStr">
        <is>
          <t>E0190</t>
        </is>
      </c>
      <c r="I133" t="inlineStr">
        <is>
          <t>E01902M</t>
        </is>
      </c>
      <c r="J133" t="inlineStr">
        <is>
          <t>CARBINE,5.56 MILLIM - M4A1</t>
        </is>
      </c>
      <c r="K133" t="inlineStr">
        <is>
          <t>IS</t>
        </is>
      </c>
      <c r="L133" t="inlineStr">
        <is>
          <t>EA</t>
        </is>
      </c>
      <c r="M133" t="inlineStr">
        <is>
          <t>N</t>
        </is>
      </c>
      <c r="N133" t="n">
        <v>0</v>
      </c>
      <c r="O133" t="n">
        <v>4</v>
      </c>
      <c r="P133" t="n">
        <v>4</v>
      </c>
    </row>
    <row r="134">
      <c r="B134" t="n">
        <v>130</v>
      </c>
      <c r="C134" t="inlineStr">
        <is>
          <t>14345</t>
        </is>
      </c>
      <c r="D134" t="inlineStr">
        <is>
          <t>14345</t>
        </is>
      </c>
      <c r="G134" t="inlineStr">
        <is>
          <t>M29111</t>
        </is>
      </c>
      <c r="H134" t="inlineStr">
        <is>
          <t>E0195</t>
        </is>
      </c>
      <c r="I134" t="inlineStr">
        <is>
          <t>E01952M</t>
        </is>
      </c>
      <c r="J134" t="inlineStr">
        <is>
          <t>CARBINE,5.56 MILLIM - M4</t>
        </is>
      </c>
      <c r="K134" t="inlineStr">
        <is>
          <t>IS</t>
        </is>
      </c>
      <c r="L134" t="inlineStr">
        <is>
          <t>EA</t>
        </is>
      </c>
      <c r="M134" t="inlineStr">
        <is>
          <t>N</t>
        </is>
      </c>
      <c r="N134" t="n">
        <v>41</v>
      </c>
      <c r="O134" t="n">
        <v>0</v>
      </c>
      <c r="P134" t="n">
        <v>41</v>
      </c>
    </row>
    <row r="135">
      <c r="B135" t="n">
        <v>131</v>
      </c>
      <c r="C135" t="inlineStr">
        <is>
          <t>14345</t>
        </is>
      </c>
      <c r="D135" t="inlineStr">
        <is>
          <t>14345</t>
        </is>
      </c>
      <c r="G135" t="inlineStr">
        <is>
          <t>M29111</t>
        </is>
      </c>
      <c r="H135" t="inlineStr">
        <is>
          <t>E0201</t>
        </is>
      </c>
      <c r="I135" t="inlineStr">
        <is>
          <t>E02012M</t>
        </is>
      </c>
      <c r="J135" t="inlineStr">
        <is>
          <t>SUPPRESSOR,SMALL AR</t>
        </is>
      </c>
      <c r="K135" t="inlineStr">
        <is>
          <t>IS</t>
        </is>
      </c>
      <c r="L135" t="inlineStr">
        <is>
          <t>EA</t>
        </is>
      </c>
      <c r="M135" t="inlineStr">
        <is>
          <t>N</t>
        </is>
      </c>
      <c r="N135" t="n">
        <v>0</v>
      </c>
      <c r="O135" t="n">
        <v>0</v>
      </c>
      <c r="P135" t="n">
        <v>0</v>
      </c>
    </row>
    <row r="136">
      <c r="B136" t="n">
        <v>132</v>
      </c>
      <c r="C136" t="inlineStr">
        <is>
          <t>14345</t>
        </is>
      </c>
      <c r="D136" t="inlineStr">
        <is>
          <t>14345</t>
        </is>
      </c>
      <c r="G136" t="inlineStr">
        <is>
          <t>M29111</t>
        </is>
      </c>
      <c r="H136" t="inlineStr">
        <is>
          <t>E0202</t>
        </is>
      </c>
      <c r="I136" t="inlineStr">
        <is>
          <t>E02022B</t>
        </is>
      </c>
      <c r="J136" t="inlineStr">
        <is>
          <t>TELESCOPE,STRAIGHT - M317</t>
        </is>
      </c>
      <c r="K136" t="inlineStr">
        <is>
          <t>IS</t>
        </is>
      </c>
      <c r="L136" t="inlineStr">
        <is>
          <t>EA</t>
        </is>
      </c>
      <c r="M136" t="inlineStr">
        <is>
          <t>R</t>
        </is>
      </c>
      <c r="N136" t="n">
        <v>0</v>
      </c>
      <c r="O136" t="n">
        <v>0</v>
      </c>
      <c r="P136" t="n">
        <v>0</v>
      </c>
    </row>
    <row r="137">
      <c r="B137" t="n">
        <v>133</v>
      </c>
      <c r="C137" t="inlineStr">
        <is>
          <t>14345</t>
        </is>
      </c>
      <c r="D137" t="inlineStr">
        <is>
          <t>14345</t>
        </is>
      </c>
      <c r="G137" t="inlineStr">
        <is>
          <t>M29111</t>
        </is>
      </c>
      <c r="H137" t="inlineStr">
        <is>
          <t>E0212</t>
        </is>
      </c>
      <c r="I137" t="inlineStr">
        <is>
          <t>E02122B</t>
        </is>
      </c>
      <c r="J137" t="inlineStr">
        <is>
          <t>TELESCOPE,STRAIGHT - M311</t>
        </is>
      </c>
      <c r="K137" t="inlineStr">
        <is>
          <t>PL</t>
        </is>
      </c>
      <c r="L137" t="inlineStr">
        <is>
          <t>EA</t>
        </is>
      </c>
      <c r="M137" t="inlineStr">
        <is>
          <t>N</t>
        </is>
      </c>
      <c r="N137" t="n">
        <v>2</v>
      </c>
      <c r="O137" t="n">
        <v>0</v>
      </c>
      <c r="P137" t="n">
        <v>2</v>
      </c>
    </row>
    <row r="138">
      <c r="B138" t="n">
        <v>134</v>
      </c>
      <c r="C138" t="inlineStr">
        <is>
          <t>14326</t>
        </is>
      </c>
      <c r="D138" t="inlineStr">
        <is>
          <t>14326</t>
        </is>
      </c>
      <c r="G138" t="inlineStr">
        <is>
          <t>M29111</t>
        </is>
      </c>
      <c r="H138" t="inlineStr">
        <is>
          <t>E0220</t>
        </is>
      </c>
      <c r="I138" t="inlineStr">
        <is>
          <t>E02207X</t>
        </is>
      </c>
      <c r="J138" t="inlineStr">
        <is>
          <t>EXPEDITIONARY DISASSEMBLY TOOL</t>
        </is>
      </c>
      <c r="K138" t="inlineStr">
        <is>
          <t>PL</t>
        </is>
      </c>
      <c r="L138" t="inlineStr"/>
      <c r="M138" t="inlineStr">
        <is>
          <t>N</t>
        </is>
      </c>
      <c r="N138" t="n">
        <v>0</v>
      </c>
      <c r="O138" t="n">
        <v>1</v>
      </c>
      <c r="P138" t="n">
        <v>1</v>
      </c>
    </row>
    <row r="139">
      <c r="B139" t="n">
        <v>135</v>
      </c>
      <c r="C139" t="inlineStr">
        <is>
          <t>14326</t>
        </is>
      </c>
      <c r="D139" t="inlineStr">
        <is>
          <t>14326</t>
        </is>
      </c>
      <c r="G139" t="inlineStr">
        <is>
          <t>M29111</t>
        </is>
      </c>
      <c r="H139" t="inlineStr">
        <is>
          <t>E0500</t>
        </is>
      </c>
      <c r="I139" t="inlineStr">
        <is>
          <t>E05002E</t>
        </is>
      </c>
      <c r="J139" t="inlineStr">
        <is>
          <t>ACCESSORY OUTFIT,FO</t>
        </is>
      </c>
      <c r="K139" t="inlineStr">
        <is>
          <t>IS</t>
        </is>
      </c>
      <c r="L139" t="inlineStr">
        <is>
          <t>EA</t>
        </is>
      </c>
      <c r="M139" t="inlineStr">
        <is>
          <t>N</t>
        </is>
      </c>
      <c r="N139" t="n">
        <v>0</v>
      </c>
      <c r="O139" t="n">
        <v>1</v>
      </c>
      <c r="P139" t="n">
        <v>1</v>
      </c>
    </row>
    <row r="140">
      <c r="B140" t="n">
        <v>136</v>
      </c>
      <c r="C140" t="inlineStr">
        <is>
          <t>14345</t>
        </is>
      </c>
      <c r="D140" t="inlineStr">
        <is>
          <t>14345</t>
        </is>
      </c>
      <c r="G140" t="inlineStr">
        <is>
          <t>M29111</t>
        </is>
      </c>
      <c r="H140" t="inlineStr">
        <is>
          <t>E0515</t>
        </is>
      </c>
      <c r="I140" t="inlineStr">
        <is>
          <t>E05157G</t>
        </is>
      </c>
      <c r="J140" t="inlineStr">
        <is>
          <t>CLEANER,STEAM,PRESS - MK62 MOD 1</t>
        </is>
      </c>
      <c r="K140" t="inlineStr">
        <is>
          <t>IS</t>
        </is>
      </c>
      <c r="L140" t="inlineStr">
        <is>
          <t>EA</t>
        </is>
      </c>
      <c r="M140" t="inlineStr">
        <is>
          <t>N</t>
        </is>
      </c>
      <c r="N140" t="n">
        <v>0</v>
      </c>
      <c r="O140" t="n">
        <v>1</v>
      </c>
      <c r="P140" t="n">
        <v>1</v>
      </c>
    </row>
    <row r="141">
      <c r="B141" t="n">
        <v>137</v>
      </c>
      <c r="C141" t="inlineStr">
        <is>
          <t>14345</t>
        </is>
      </c>
      <c r="D141" t="inlineStr">
        <is>
          <t>14345</t>
        </is>
      </c>
      <c r="G141" t="inlineStr">
        <is>
          <t>M29111</t>
        </is>
      </c>
      <c r="H141" t="inlineStr">
        <is>
          <t>E0720</t>
        </is>
      </c>
      <c r="I141" t="inlineStr">
        <is>
          <t>E07202B</t>
        </is>
      </c>
      <c r="J141" t="inlineStr">
        <is>
          <t>HOOK AND LINE KIT - HAL KESP1/00</t>
        </is>
      </c>
      <c r="K141" t="inlineStr">
        <is>
          <t>IS</t>
        </is>
      </c>
      <c r="L141" t="inlineStr">
        <is>
          <t>EA</t>
        </is>
      </c>
      <c r="M141" t="inlineStr">
        <is>
          <t>N</t>
        </is>
      </c>
      <c r="N141" t="n">
        <v>0</v>
      </c>
      <c r="O141" t="n">
        <v>2</v>
      </c>
      <c r="P141" t="n">
        <v>2</v>
      </c>
    </row>
    <row r="142">
      <c r="B142" t="n">
        <v>138</v>
      </c>
      <c r="C142" t="inlineStr">
        <is>
          <t>14326</t>
        </is>
      </c>
      <c r="D142" t="inlineStr">
        <is>
          <t>14326</t>
        </is>
      </c>
      <c r="G142" t="inlineStr">
        <is>
          <t>M29111</t>
        </is>
      </c>
      <c r="H142" t="inlineStr">
        <is>
          <t>E0759</t>
        </is>
      </c>
      <c r="I142" t="inlineStr">
        <is>
          <t>E07592E</t>
        </is>
      </c>
      <c r="J142" t="inlineStr">
        <is>
          <t>FUZE DISASSEMBLY SY - AN/GJQ-134</t>
        </is>
      </c>
      <c r="K142" t="inlineStr">
        <is>
          <t>IS</t>
        </is>
      </c>
      <c r="L142" t="inlineStr">
        <is>
          <t>EA</t>
        </is>
      </c>
      <c r="M142" t="inlineStr">
        <is>
          <t>N</t>
        </is>
      </c>
      <c r="N142" t="n">
        <v>0</v>
      </c>
      <c r="O142" t="n">
        <v>0</v>
      </c>
      <c r="P142" t="n">
        <v>0</v>
      </c>
    </row>
    <row r="143">
      <c r="B143" t="n">
        <v>139</v>
      </c>
      <c r="C143" t="inlineStr">
        <is>
          <t>21710</t>
        </is>
      </c>
      <c r="D143" t="inlineStr">
        <is>
          <t>21710</t>
        </is>
      </c>
      <c r="G143" t="inlineStr">
        <is>
          <t>M29111</t>
        </is>
      </c>
      <c r="H143" t="inlineStr">
        <is>
          <t>E0856</t>
        </is>
      </c>
      <c r="I143" t="inlineStr">
        <is>
          <t>E08567K</t>
        </is>
      </c>
      <c r="J143" t="inlineStr">
        <is>
          <t>ASSAULT VEHICLE,FUL - AAVR7A1 RAM/RS</t>
        </is>
      </c>
      <c r="K143" t="inlineStr">
        <is>
          <t>IS</t>
        </is>
      </c>
      <c r="L143" t="inlineStr">
        <is>
          <t>EA</t>
        </is>
      </c>
      <c r="M143" t="inlineStr">
        <is>
          <t>M</t>
        </is>
      </c>
      <c r="N143" t="n">
        <v>0</v>
      </c>
      <c r="O143" t="n">
        <v>0</v>
      </c>
      <c r="P143" t="n">
        <v>0</v>
      </c>
    </row>
    <row r="144">
      <c r="B144" t="n">
        <v>140</v>
      </c>
      <c r="C144" t="inlineStr">
        <is>
          <t>14326</t>
        </is>
      </c>
      <c r="D144" t="inlineStr">
        <is>
          <t>14326</t>
        </is>
      </c>
      <c r="G144" t="inlineStr">
        <is>
          <t>M29111</t>
        </is>
      </c>
      <c r="H144" t="inlineStr">
        <is>
          <t>E0958</t>
        </is>
      </c>
      <c r="I144" t="inlineStr">
        <is>
          <t>E09582E</t>
        </is>
      </c>
      <c r="J144" t="inlineStr">
        <is>
          <t>DETECTOR,EXPLOSIVE - MK26 MOD 1</t>
        </is>
      </c>
      <c r="K144" t="inlineStr">
        <is>
          <t>IS</t>
        </is>
      </c>
      <c r="L144" t="inlineStr">
        <is>
          <t>EA</t>
        </is>
      </c>
      <c r="M144" t="inlineStr">
        <is>
          <t>N</t>
        </is>
      </c>
      <c r="N144" t="n">
        <v>0</v>
      </c>
      <c r="O144" t="n">
        <v>1</v>
      </c>
      <c r="P144" t="n">
        <v>1</v>
      </c>
    </row>
    <row r="145">
      <c r="B145" t="n">
        <v>141</v>
      </c>
      <c r="C145" t="inlineStr">
        <is>
          <t>14345</t>
        </is>
      </c>
      <c r="D145" t="inlineStr">
        <is>
          <t>14345</t>
        </is>
      </c>
      <c r="G145" t="inlineStr">
        <is>
          <t>M29111</t>
        </is>
      </c>
      <c r="H145" t="inlineStr">
        <is>
          <t>E1154</t>
        </is>
      </c>
      <c r="I145" t="inlineStr">
        <is>
          <t>E11542B</t>
        </is>
      </c>
      <c r="J145" t="inlineStr">
        <is>
          <t>VIEWER,NIGHT VISION - AN/PVS14</t>
        </is>
      </c>
      <c r="K145" t="inlineStr">
        <is>
          <t>IS</t>
        </is>
      </c>
      <c r="L145" t="inlineStr">
        <is>
          <t>EA</t>
        </is>
      </c>
      <c r="M145" t="inlineStr">
        <is>
          <t>N</t>
        </is>
      </c>
      <c r="N145" t="n">
        <v>0</v>
      </c>
      <c r="O145" t="n">
        <v>44</v>
      </c>
      <c r="P145" t="n">
        <v>44</v>
      </c>
    </row>
    <row r="146">
      <c r="B146" t="n">
        <v>142</v>
      </c>
      <c r="C146" t="inlineStr">
        <is>
          <t>14326</t>
        </is>
      </c>
      <c r="D146" t="inlineStr">
        <is>
          <t>14326</t>
        </is>
      </c>
      <c r="G146" t="inlineStr">
        <is>
          <t>M29111</t>
        </is>
      </c>
      <c r="H146" t="inlineStr">
        <is>
          <t>E1255</t>
        </is>
      </c>
      <c r="I146" t="inlineStr">
        <is>
          <t>E12552E</t>
        </is>
      </c>
      <c r="J146" t="inlineStr">
        <is>
          <t>PURGING KIT,FIRE CO</t>
        </is>
      </c>
      <c r="K146" t="inlineStr">
        <is>
          <t>IS</t>
        </is>
      </c>
      <c r="L146" t="inlineStr">
        <is>
          <t>SE</t>
        </is>
      </c>
      <c r="M146" t="inlineStr">
        <is>
          <t>N</t>
        </is>
      </c>
      <c r="N146" t="n">
        <v>0</v>
      </c>
      <c r="O146" t="n">
        <v>2</v>
      </c>
      <c r="P146" t="n">
        <v>2</v>
      </c>
    </row>
    <row r="147">
      <c r="B147" t="n">
        <v>143</v>
      </c>
      <c r="C147" t="inlineStr">
        <is>
          <t>14326</t>
        </is>
      </c>
      <c r="D147" t="inlineStr">
        <is>
          <t>14326</t>
        </is>
      </c>
      <c r="G147" t="inlineStr">
        <is>
          <t>M29111</t>
        </is>
      </c>
      <c r="H147" t="inlineStr">
        <is>
          <t>E1257</t>
        </is>
      </c>
      <c r="I147" t="inlineStr">
        <is>
          <t>E12572E</t>
        </is>
      </c>
      <c r="J147" t="inlineStr">
        <is>
          <t>DEVICE,PURGE - TS10</t>
        </is>
      </c>
      <c r="K147" t="inlineStr">
        <is>
          <t>IS</t>
        </is>
      </c>
      <c r="L147" t="inlineStr">
        <is>
          <t>EA</t>
        </is>
      </c>
      <c r="M147" t="inlineStr">
        <is>
          <t>N</t>
        </is>
      </c>
      <c r="N147" t="n">
        <v>0</v>
      </c>
      <c r="O147" t="n">
        <v>1</v>
      </c>
      <c r="P147" t="n">
        <v>1</v>
      </c>
    </row>
    <row r="148">
      <c r="B148" t="n">
        <v>144</v>
      </c>
      <c r="C148" t="inlineStr">
        <is>
          <t>14345</t>
        </is>
      </c>
      <c r="D148" t="inlineStr">
        <is>
          <t>14345</t>
        </is>
      </c>
      <c r="G148" t="inlineStr">
        <is>
          <t>M29111</t>
        </is>
      </c>
      <c r="H148" t="inlineStr">
        <is>
          <t>E1260</t>
        </is>
      </c>
      <c r="I148" t="inlineStr">
        <is>
          <t>E12607B</t>
        </is>
      </c>
      <c r="J148" t="inlineStr">
        <is>
          <t>QUADRANT,FIRE CONTR - M2</t>
        </is>
      </c>
      <c r="K148" t="inlineStr">
        <is>
          <t>IS</t>
        </is>
      </c>
      <c r="L148" t="inlineStr">
        <is>
          <t>EA</t>
        </is>
      </c>
      <c r="M148" t="inlineStr">
        <is>
          <t>N</t>
        </is>
      </c>
      <c r="N148" t="n">
        <v>0</v>
      </c>
      <c r="O148" t="n">
        <v>2</v>
      </c>
      <c r="P148" t="n">
        <v>2</v>
      </c>
    </row>
    <row r="149">
      <c r="B149" t="n">
        <v>145</v>
      </c>
      <c r="C149" t="inlineStr">
        <is>
          <t>14326</t>
        </is>
      </c>
      <c r="D149" t="inlineStr">
        <is>
          <t>14326</t>
        </is>
      </c>
      <c r="G149" t="inlineStr">
        <is>
          <t>M29111</t>
        </is>
      </c>
      <c r="H149" t="inlineStr">
        <is>
          <t>E1379</t>
        </is>
      </c>
      <c r="I149" t="inlineStr">
        <is>
          <t>E13792E</t>
        </is>
      </c>
      <c r="J149" t="inlineStr">
        <is>
          <t>CHARGING KIT,PRESSU</t>
        </is>
      </c>
      <c r="K149" t="inlineStr">
        <is>
          <t>IS</t>
        </is>
      </c>
      <c r="L149" t="inlineStr">
        <is>
          <t>EA</t>
        </is>
      </c>
      <c r="M149" t="inlineStr">
        <is>
          <t>N</t>
        </is>
      </c>
      <c r="N149" t="n">
        <v>0</v>
      </c>
      <c r="O149" t="n">
        <v>1</v>
      </c>
      <c r="P149" t="n">
        <v>1</v>
      </c>
    </row>
    <row r="150">
      <c r="B150" t="n">
        <v>146</v>
      </c>
      <c r="C150" t="inlineStr">
        <is>
          <t>14345</t>
        </is>
      </c>
      <c r="D150" t="inlineStr">
        <is>
          <t>14345</t>
        </is>
      </c>
      <c r="G150" t="inlineStr">
        <is>
          <t>M29111</t>
        </is>
      </c>
      <c r="H150" t="inlineStr">
        <is>
          <t>E1442</t>
        </is>
      </c>
      <c r="I150" t="inlineStr">
        <is>
          <t>E14422M</t>
        </is>
      </c>
      <c r="J150" t="inlineStr">
        <is>
          <t>RIFLE,5.56 MILLIMET - M16A4</t>
        </is>
      </c>
      <c r="K150" t="inlineStr">
        <is>
          <t>IS</t>
        </is>
      </c>
      <c r="L150" t="inlineStr">
        <is>
          <t>EA</t>
        </is>
      </c>
      <c r="M150" t="inlineStr">
        <is>
          <t>N</t>
        </is>
      </c>
      <c r="N150" t="n">
        <v>40</v>
      </c>
      <c r="O150" t="n">
        <v>0</v>
      </c>
      <c r="P150" t="n">
        <v>40</v>
      </c>
    </row>
    <row r="151">
      <c r="B151" t="n">
        <v>147</v>
      </c>
      <c r="C151" t="inlineStr">
        <is>
          <t>14345</t>
        </is>
      </c>
      <c r="D151" t="inlineStr">
        <is>
          <t>14345</t>
        </is>
      </c>
      <c r="G151" t="inlineStr">
        <is>
          <t>M29111</t>
        </is>
      </c>
      <c r="H151" t="inlineStr">
        <is>
          <t>E1475</t>
        </is>
      </c>
      <c r="I151" t="inlineStr">
        <is>
          <t>E14752M</t>
        </is>
      </c>
      <c r="J151" t="inlineStr">
        <is>
          <t>RIFLE,SNIPER - M107</t>
        </is>
      </c>
      <c r="K151" t="inlineStr">
        <is>
          <t>IS</t>
        </is>
      </c>
      <c r="L151" t="inlineStr">
        <is>
          <t>EA</t>
        </is>
      </c>
      <c r="M151" t="inlineStr">
        <is>
          <t>R</t>
        </is>
      </c>
      <c r="N151" t="n">
        <v>0</v>
      </c>
      <c r="O151" t="n">
        <v>2</v>
      </c>
      <c r="P151" t="n">
        <v>2</v>
      </c>
    </row>
    <row r="152">
      <c r="B152" t="n">
        <v>148</v>
      </c>
      <c r="C152" t="inlineStr">
        <is>
          <t>14345</t>
        </is>
      </c>
      <c r="D152" t="inlineStr">
        <is>
          <t>14345</t>
        </is>
      </c>
      <c r="G152" t="inlineStr">
        <is>
          <t>M29111</t>
        </is>
      </c>
      <c r="H152" t="inlineStr">
        <is>
          <t>E1710</t>
        </is>
      </c>
      <c r="I152" t="inlineStr">
        <is>
          <t>E17102B</t>
        </is>
      </c>
      <c r="J152" t="inlineStr">
        <is>
          <t>SIGHT,BORE,OPTICAL - TA31RCO-A4</t>
        </is>
      </c>
      <c r="K152" t="inlineStr">
        <is>
          <t>IS</t>
        </is>
      </c>
      <c r="L152" t="inlineStr">
        <is>
          <t>EA</t>
        </is>
      </c>
      <c r="M152" t="inlineStr">
        <is>
          <t>N</t>
        </is>
      </c>
      <c r="N152" t="n">
        <v>40</v>
      </c>
      <c r="O152" t="n">
        <v>0</v>
      </c>
      <c r="P152" t="n">
        <v>40</v>
      </c>
    </row>
    <row r="153">
      <c r="B153" t="n">
        <v>149</v>
      </c>
      <c r="C153" t="inlineStr">
        <is>
          <t>14345</t>
        </is>
      </c>
      <c r="D153" t="inlineStr">
        <is>
          <t>14345</t>
        </is>
      </c>
      <c r="G153" t="inlineStr">
        <is>
          <t>M29111</t>
        </is>
      </c>
      <c r="H153" t="inlineStr">
        <is>
          <t>E1712</t>
        </is>
      </c>
      <c r="I153" t="inlineStr">
        <is>
          <t>E17127B</t>
        </is>
      </c>
      <c r="J153" t="inlineStr">
        <is>
          <t>SHOP SET,EQUIPMENT,</t>
        </is>
      </c>
      <c r="K153" t="inlineStr">
        <is>
          <t>IS</t>
        </is>
      </c>
      <c r="L153" t="inlineStr">
        <is>
          <t>EA</t>
        </is>
      </c>
      <c r="M153" t="inlineStr">
        <is>
          <t>N</t>
        </is>
      </c>
      <c r="N153" t="n">
        <v>0</v>
      </c>
      <c r="O153" t="n">
        <v>1</v>
      </c>
      <c r="P153" t="n">
        <v>1</v>
      </c>
    </row>
    <row r="154">
      <c r="B154" t="n">
        <v>150</v>
      </c>
      <c r="C154" t="inlineStr">
        <is>
          <t>14345</t>
        </is>
      </c>
      <c r="D154" t="inlineStr">
        <is>
          <t>14345</t>
        </is>
      </c>
      <c r="G154" t="inlineStr">
        <is>
          <t>M29111</t>
        </is>
      </c>
      <c r="H154" t="inlineStr">
        <is>
          <t>E1714</t>
        </is>
      </c>
      <c r="I154" t="inlineStr">
        <is>
          <t>E17147B</t>
        </is>
      </c>
      <c r="J154" t="inlineStr">
        <is>
          <t>SHOP SET,MAINTENANC - N/A</t>
        </is>
      </c>
      <c r="K154" t="inlineStr">
        <is>
          <t>IS</t>
        </is>
      </c>
      <c r="L154" t="inlineStr">
        <is>
          <t>EA</t>
        </is>
      </c>
      <c r="M154" t="inlineStr">
        <is>
          <t>N</t>
        </is>
      </c>
      <c r="N154" t="n">
        <v>0</v>
      </c>
      <c r="O154" t="n">
        <v>1</v>
      </c>
      <c r="P154" t="n">
        <v>1</v>
      </c>
    </row>
    <row r="155">
      <c r="B155" t="n">
        <v>151</v>
      </c>
      <c r="C155" t="inlineStr">
        <is>
          <t>14345</t>
        </is>
      </c>
      <c r="D155" t="inlineStr">
        <is>
          <t>14345</t>
        </is>
      </c>
      <c r="G155" t="inlineStr">
        <is>
          <t>M29111</t>
        </is>
      </c>
      <c r="H155" t="inlineStr">
        <is>
          <t>E1761</t>
        </is>
      </c>
      <c r="I155" t="inlineStr">
        <is>
          <t>E17612M</t>
        </is>
      </c>
      <c r="J155" t="inlineStr">
        <is>
          <t>SHOTGUN,COMBAT - M1014</t>
        </is>
      </c>
      <c r="K155" t="inlineStr">
        <is>
          <t>IS</t>
        </is>
      </c>
      <c r="L155" t="inlineStr">
        <is>
          <t>EA</t>
        </is>
      </c>
      <c r="M155" t="inlineStr">
        <is>
          <t>N</t>
        </is>
      </c>
      <c r="N155" t="n">
        <v>0</v>
      </c>
      <c r="O155" t="n">
        <v>8</v>
      </c>
      <c r="P155" t="n">
        <v>8</v>
      </c>
    </row>
    <row r="156">
      <c r="B156" t="n">
        <v>152</v>
      </c>
      <c r="C156" t="inlineStr">
        <is>
          <t>14345</t>
        </is>
      </c>
      <c r="D156" t="inlineStr">
        <is>
          <t>14345</t>
        </is>
      </c>
      <c r="G156" t="inlineStr">
        <is>
          <t>M29111</t>
        </is>
      </c>
      <c r="H156" t="inlineStr">
        <is>
          <t>E1762</t>
        </is>
      </c>
      <c r="I156" t="inlineStr">
        <is>
          <t>E17622M</t>
        </is>
      </c>
      <c r="J156" t="inlineStr">
        <is>
          <t>SHOTGUN,12 GAGE,RIO - 500A2</t>
        </is>
      </c>
      <c r="K156" t="inlineStr">
        <is>
          <t>IS</t>
        </is>
      </c>
      <c r="L156" t="inlineStr">
        <is>
          <t>EA</t>
        </is>
      </c>
      <c r="M156" t="inlineStr">
        <is>
          <t>N</t>
        </is>
      </c>
      <c r="N156" t="n">
        <v>0</v>
      </c>
      <c r="O156" t="n">
        <v>3</v>
      </c>
      <c r="P156" t="n">
        <v>3</v>
      </c>
    </row>
    <row r="157">
      <c r="B157" t="n">
        <v>153</v>
      </c>
      <c r="C157" t="inlineStr">
        <is>
          <t>14345</t>
        </is>
      </c>
      <c r="D157" t="inlineStr">
        <is>
          <t>14345</t>
        </is>
      </c>
      <c r="G157" t="inlineStr">
        <is>
          <t>M29111</t>
        </is>
      </c>
      <c r="H157" t="inlineStr">
        <is>
          <t>E1785</t>
        </is>
      </c>
      <c r="I157" t="inlineStr">
        <is>
          <t>E17852M</t>
        </is>
      </c>
      <c r="J157" t="inlineStr">
        <is>
          <t>SIGHT SYNCHRONIZATI - TF03661-011</t>
        </is>
      </c>
      <c r="K157" t="inlineStr">
        <is>
          <t>IS</t>
        </is>
      </c>
      <c r="L157" t="inlineStr">
        <is>
          <t>EA</t>
        </is>
      </c>
      <c r="M157" t="inlineStr">
        <is>
          <t>N</t>
        </is>
      </c>
      <c r="N157" t="n">
        <v>0</v>
      </c>
      <c r="O157" t="n">
        <v>1</v>
      </c>
      <c r="P157" t="n">
        <v>1</v>
      </c>
    </row>
    <row r="158">
      <c r="B158" t="n">
        <v>154</v>
      </c>
      <c r="C158" t="inlineStr">
        <is>
          <t>14345</t>
        </is>
      </c>
      <c r="D158" t="inlineStr">
        <is>
          <t>14345</t>
        </is>
      </c>
      <c r="G158" t="inlineStr">
        <is>
          <t>M29111</t>
        </is>
      </c>
      <c r="H158" t="inlineStr">
        <is>
          <t>E1798</t>
        </is>
      </c>
      <c r="I158" t="inlineStr">
        <is>
          <t>E17982G</t>
        </is>
      </c>
      <c r="J158" t="inlineStr">
        <is>
          <t>ILLUMINATOR,INFRARE - AN/PEQ-15</t>
        </is>
      </c>
      <c r="K158" t="inlineStr">
        <is>
          <t>IS</t>
        </is>
      </c>
      <c r="L158" t="inlineStr">
        <is>
          <t>EA</t>
        </is>
      </c>
      <c r="M158" t="inlineStr">
        <is>
          <t>N</t>
        </is>
      </c>
      <c r="N158" t="n">
        <v>57</v>
      </c>
      <c r="O158" t="n">
        <v>0</v>
      </c>
      <c r="P158" t="n">
        <v>57</v>
      </c>
    </row>
    <row r="159">
      <c r="B159" t="n">
        <v>155</v>
      </c>
      <c r="C159" t="inlineStr">
        <is>
          <t>14326</t>
        </is>
      </c>
      <c r="D159" t="inlineStr">
        <is>
          <t>14326</t>
        </is>
      </c>
      <c r="G159" t="inlineStr">
        <is>
          <t>M29111</t>
        </is>
      </c>
      <c r="H159" t="inlineStr">
        <is>
          <t>E1833</t>
        </is>
      </c>
      <c r="I159" t="inlineStr">
        <is>
          <t>E18332E</t>
        </is>
      </c>
      <c r="J159" t="inlineStr">
        <is>
          <t>STAND,MAINTENANCE,A - LVT7A1</t>
        </is>
      </c>
      <c r="K159" t="inlineStr">
        <is>
          <t>IS</t>
        </is>
      </c>
      <c r="L159" t="inlineStr">
        <is>
          <t>EA</t>
        </is>
      </c>
      <c r="M159" t="inlineStr">
        <is>
          <t>N</t>
        </is>
      </c>
      <c r="N159" t="n">
        <v>0</v>
      </c>
      <c r="O159" t="n">
        <v>0</v>
      </c>
      <c r="P159" t="n">
        <v>0</v>
      </c>
    </row>
    <row r="160">
      <c r="B160" t="n">
        <v>156</v>
      </c>
      <c r="C160" t="inlineStr">
        <is>
          <t>14345</t>
        </is>
      </c>
      <c r="D160" t="inlineStr">
        <is>
          <t>14345</t>
        </is>
      </c>
      <c r="G160" t="inlineStr">
        <is>
          <t>M29111</t>
        </is>
      </c>
      <c r="H160" t="inlineStr">
        <is>
          <t>E1948</t>
        </is>
      </c>
      <c r="I160" t="inlineStr">
        <is>
          <t>E19482G</t>
        </is>
      </c>
      <c r="J160" t="inlineStr">
        <is>
          <t>TEST SET,ELECTRONIC - TS4348/UV</t>
        </is>
      </c>
      <c r="K160" t="inlineStr">
        <is>
          <t>IS</t>
        </is>
      </c>
      <c r="L160" t="inlineStr">
        <is>
          <t>EA</t>
        </is>
      </c>
      <c r="M160" t="inlineStr">
        <is>
          <t>N</t>
        </is>
      </c>
      <c r="N160" t="n">
        <v>0</v>
      </c>
      <c r="O160" t="n">
        <v>2</v>
      </c>
      <c r="P160" t="n">
        <v>2</v>
      </c>
    </row>
    <row r="161">
      <c r="B161" t="n">
        <v>157</v>
      </c>
      <c r="C161" t="inlineStr">
        <is>
          <t>14345</t>
        </is>
      </c>
      <c r="D161" t="inlineStr">
        <is>
          <t>14345</t>
        </is>
      </c>
      <c r="G161" t="inlineStr">
        <is>
          <t>M29111</t>
        </is>
      </c>
      <c r="H161" t="inlineStr">
        <is>
          <t>E1975</t>
        </is>
      </c>
      <c r="I161" t="inlineStr">
        <is>
          <t>E19757G</t>
        </is>
      </c>
      <c r="J161" t="inlineStr">
        <is>
          <t>SIGHT,THERMAL - AN/PAS13D(V2)</t>
        </is>
      </c>
      <c r="K161" t="inlineStr">
        <is>
          <t>IS</t>
        </is>
      </c>
      <c r="L161" t="inlineStr">
        <is>
          <t>EA</t>
        </is>
      </c>
      <c r="M161" t="inlineStr">
        <is>
          <t>R</t>
        </is>
      </c>
      <c r="N161" t="n">
        <v>0</v>
      </c>
      <c r="O161" t="n">
        <v>0</v>
      </c>
      <c r="P161" t="n">
        <v>0</v>
      </c>
    </row>
    <row r="162">
      <c r="B162" t="n">
        <v>158</v>
      </c>
      <c r="C162" t="inlineStr">
        <is>
          <t>14345</t>
        </is>
      </c>
      <c r="D162" t="inlineStr">
        <is>
          <t>14345</t>
        </is>
      </c>
      <c r="G162" t="inlineStr">
        <is>
          <t>M29111</t>
        </is>
      </c>
      <c r="H162" t="inlineStr">
        <is>
          <t>E1976</t>
        </is>
      </c>
      <c r="I162" t="inlineStr">
        <is>
          <t>E19767G</t>
        </is>
      </c>
      <c r="J162" t="inlineStr">
        <is>
          <t>SIGHT,THERMAL - AN/PAS13D(V3)</t>
        </is>
      </c>
      <c r="K162" t="inlineStr">
        <is>
          <t>IS</t>
        </is>
      </c>
      <c r="L162" t="inlineStr">
        <is>
          <t>EA</t>
        </is>
      </c>
      <c r="M162" t="inlineStr">
        <is>
          <t>R</t>
        </is>
      </c>
      <c r="N162" t="n">
        <v>0</v>
      </c>
      <c r="O162" t="n">
        <v>0</v>
      </c>
      <c r="P162" t="n">
        <v>0</v>
      </c>
    </row>
    <row r="163">
      <c r="B163" t="n">
        <v>159</v>
      </c>
      <c r="C163" t="inlineStr">
        <is>
          <t>14326</t>
        </is>
      </c>
      <c r="D163" t="inlineStr">
        <is>
          <t>14326</t>
        </is>
      </c>
      <c r="G163" t="inlineStr">
        <is>
          <t>M29111</t>
        </is>
      </c>
      <c r="H163" t="inlineStr">
        <is>
          <t>E1983</t>
        </is>
      </c>
      <c r="I163" t="inlineStr">
        <is>
          <t>E19832E</t>
        </is>
      </c>
      <c r="J163" t="inlineStr">
        <is>
          <t>TOOL AND GAGE SET,I</t>
        </is>
      </c>
      <c r="K163" t="inlineStr">
        <is>
          <t>IS</t>
        </is>
      </c>
      <c r="L163" t="inlineStr">
        <is>
          <t>EA</t>
        </is>
      </c>
      <c r="M163" t="inlineStr">
        <is>
          <t>N</t>
        </is>
      </c>
      <c r="N163" t="n">
        <v>0</v>
      </c>
      <c r="O163" t="n">
        <v>1</v>
      </c>
      <c r="P163" t="n">
        <v>1</v>
      </c>
    </row>
    <row r="164">
      <c r="B164" t="n">
        <v>160</v>
      </c>
      <c r="C164" t="inlineStr">
        <is>
          <t>14326</t>
        </is>
      </c>
      <c r="D164" t="inlineStr">
        <is>
          <t>14326</t>
        </is>
      </c>
      <c r="G164" t="inlineStr">
        <is>
          <t>M29111</t>
        </is>
      </c>
      <c r="H164" t="inlineStr">
        <is>
          <t>E2070</t>
        </is>
      </c>
      <c r="I164" t="inlineStr">
        <is>
          <t>E20702E</t>
        </is>
      </c>
      <c r="J164" t="inlineStr">
        <is>
          <t>TOOL KIT,BORESIGHT, - MK145 MOD0</t>
        </is>
      </c>
      <c r="K164" t="inlineStr">
        <is>
          <t>DP</t>
        </is>
      </c>
      <c r="L164" t="inlineStr">
        <is>
          <t>EA</t>
        </is>
      </c>
      <c r="M164" t="inlineStr">
        <is>
          <t>N</t>
        </is>
      </c>
      <c r="N164" t="n">
        <v>0</v>
      </c>
      <c r="O164" t="n">
        <v>1</v>
      </c>
      <c r="P164" t="n">
        <v>1</v>
      </c>
    </row>
    <row r="165">
      <c r="B165" t="n">
        <v>161</v>
      </c>
      <c r="C165" t="inlineStr">
        <is>
          <t>14326</t>
        </is>
      </c>
      <c r="D165" t="inlineStr">
        <is>
          <t>14326</t>
        </is>
      </c>
      <c r="G165" t="inlineStr">
        <is>
          <t>M29111</t>
        </is>
      </c>
      <c r="H165" t="inlineStr">
        <is>
          <t>E2270</t>
        </is>
      </c>
      <c r="I165" t="inlineStr">
        <is>
          <t>E22702E</t>
        </is>
      </c>
      <c r="J165" t="inlineStr">
        <is>
          <t>TOOL SET,DIRECT AND</t>
        </is>
      </c>
      <c r="K165" t="inlineStr">
        <is>
          <t>IS</t>
        </is>
      </c>
      <c r="L165" t="inlineStr"/>
      <c r="M165" t="inlineStr">
        <is>
          <t>N</t>
        </is>
      </c>
      <c r="N165" t="n">
        <v>0</v>
      </c>
      <c r="O165" t="n">
        <v>1</v>
      </c>
      <c r="P165" t="n">
        <v>1</v>
      </c>
    </row>
    <row r="166">
      <c r="B166" t="n">
        <v>162</v>
      </c>
      <c r="C166" t="inlineStr">
        <is>
          <t>14326</t>
        </is>
      </c>
      <c r="D166" t="inlineStr">
        <is>
          <t>14326</t>
        </is>
      </c>
      <c r="G166" t="inlineStr">
        <is>
          <t>M29111</t>
        </is>
      </c>
      <c r="H166" t="inlineStr">
        <is>
          <t>E2525</t>
        </is>
      </c>
      <c r="I166" t="inlineStr">
        <is>
          <t>E25252E</t>
        </is>
      </c>
      <c r="J166" t="inlineStr">
        <is>
          <t>MAINTENANCE KIT,GUN - M16</t>
        </is>
      </c>
      <c r="K166" t="inlineStr">
        <is>
          <t>IS</t>
        </is>
      </c>
      <c r="L166" t="inlineStr"/>
      <c r="M166" t="inlineStr">
        <is>
          <t>N</t>
        </is>
      </c>
      <c r="N166" t="n">
        <v>0</v>
      </c>
      <c r="O166" t="n">
        <v>1</v>
      </c>
      <c r="P166" t="n">
        <v>1</v>
      </c>
    </row>
    <row r="167">
      <c r="B167" t="n">
        <v>163</v>
      </c>
      <c r="C167" t="inlineStr">
        <is>
          <t>14326</t>
        </is>
      </c>
      <c r="D167" t="inlineStr">
        <is>
          <t>14326</t>
        </is>
      </c>
      <c r="G167" t="inlineStr">
        <is>
          <t>M29111</t>
        </is>
      </c>
      <c r="H167" t="inlineStr">
        <is>
          <t>E2650</t>
        </is>
      </c>
      <c r="I167" t="inlineStr">
        <is>
          <t>E26502E</t>
        </is>
      </c>
      <c r="J167" t="inlineStr">
        <is>
          <t>TOOL SET,MK36 MOD 0 - MK 36 MOD 0</t>
        </is>
      </c>
      <c r="K167" t="inlineStr">
        <is>
          <t>IS</t>
        </is>
      </c>
      <c r="L167" t="inlineStr">
        <is>
          <t>EA</t>
        </is>
      </c>
      <c r="M167" t="inlineStr">
        <is>
          <t>N</t>
        </is>
      </c>
      <c r="N167" t="n">
        <v>0</v>
      </c>
      <c r="O167" t="n">
        <v>1</v>
      </c>
      <c r="P167" t="n">
        <v>1</v>
      </c>
    </row>
    <row r="168">
      <c r="B168" t="n">
        <v>164</v>
      </c>
      <c r="C168" t="inlineStr">
        <is>
          <t>14326</t>
        </is>
      </c>
      <c r="D168" t="inlineStr">
        <is>
          <t>14326</t>
        </is>
      </c>
      <c r="G168" t="inlineStr">
        <is>
          <t>M29111</t>
        </is>
      </c>
      <c r="H168" t="inlineStr">
        <is>
          <t>E2656</t>
        </is>
      </c>
      <c r="I168" t="inlineStr">
        <is>
          <t>E26562E</t>
        </is>
      </c>
      <c r="J168" t="inlineStr">
        <is>
          <t>TOOL KIT, IM, F/M240 MG</t>
        </is>
      </c>
      <c r="K168" t="inlineStr">
        <is>
          <t>IS</t>
        </is>
      </c>
      <c r="L168" t="inlineStr">
        <is>
          <t>EA</t>
        </is>
      </c>
      <c r="M168" t="inlineStr">
        <is>
          <t>N</t>
        </is>
      </c>
      <c r="N168" t="n">
        <v>0</v>
      </c>
      <c r="O168" t="n">
        <v>1</v>
      </c>
      <c r="P168" t="n">
        <v>1</v>
      </c>
    </row>
    <row r="169">
      <c r="B169" t="n">
        <v>165</v>
      </c>
      <c r="C169" t="inlineStr">
        <is>
          <t>14326</t>
        </is>
      </c>
      <c r="D169" t="inlineStr">
        <is>
          <t>14326</t>
        </is>
      </c>
      <c r="G169" t="inlineStr">
        <is>
          <t>M29111</t>
        </is>
      </c>
      <c r="H169" t="inlineStr">
        <is>
          <t>E2657</t>
        </is>
      </c>
      <c r="I169" t="inlineStr">
        <is>
          <t>E26572E</t>
        </is>
      </c>
      <c r="J169" t="inlineStr">
        <is>
          <t>TOOL KIT,INTERMEDIA</t>
        </is>
      </c>
      <c r="K169" t="inlineStr">
        <is>
          <t>DP</t>
        </is>
      </c>
      <c r="L169" t="inlineStr"/>
      <c r="M169" t="inlineStr">
        <is>
          <t>N</t>
        </is>
      </c>
      <c r="N169" t="n">
        <v>0</v>
      </c>
      <c r="O169" t="n">
        <v>1</v>
      </c>
      <c r="P169" t="n">
        <v>1</v>
      </c>
    </row>
    <row r="170">
      <c r="B170" t="n">
        <v>166</v>
      </c>
      <c r="C170" t="inlineStr">
        <is>
          <t>14326</t>
        </is>
      </c>
      <c r="D170" t="inlineStr">
        <is>
          <t>14326</t>
        </is>
      </c>
      <c r="G170" t="inlineStr">
        <is>
          <t>M29111</t>
        </is>
      </c>
      <c r="H170" t="inlineStr">
        <is>
          <t>E2658</t>
        </is>
      </c>
      <c r="I170" t="inlineStr">
        <is>
          <t>E26582E</t>
        </is>
      </c>
      <c r="J170" t="inlineStr">
        <is>
          <t>TOOL KIT,3RD ECHELO</t>
        </is>
      </c>
      <c r="K170" t="inlineStr">
        <is>
          <t>IS</t>
        </is>
      </c>
      <c r="L170" t="inlineStr">
        <is>
          <t>EA</t>
        </is>
      </c>
      <c r="M170" t="inlineStr">
        <is>
          <t>N</t>
        </is>
      </c>
      <c r="N170" t="n">
        <v>0</v>
      </c>
      <c r="O170" t="n">
        <v>1</v>
      </c>
      <c r="P170" t="n">
        <v>1</v>
      </c>
    </row>
    <row r="171">
      <c r="B171" t="n">
        <v>167</v>
      </c>
      <c r="C171" t="inlineStr">
        <is>
          <t>14326</t>
        </is>
      </c>
      <c r="D171" t="inlineStr">
        <is>
          <t>14326</t>
        </is>
      </c>
      <c r="G171" t="inlineStr">
        <is>
          <t>M29111</t>
        </is>
      </c>
      <c r="H171" t="inlineStr">
        <is>
          <t>E2659</t>
        </is>
      </c>
      <c r="I171" t="inlineStr">
        <is>
          <t>E26592E</t>
        </is>
      </c>
      <c r="J171" t="inlineStr">
        <is>
          <t>TOOL KIT,4TH ECHELO</t>
        </is>
      </c>
      <c r="K171" t="inlineStr">
        <is>
          <t>IS</t>
        </is>
      </c>
      <c r="L171" t="inlineStr">
        <is>
          <t>EA</t>
        </is>
      </c>
      <c r="M171" t="inlineStr">
        <is>
          <t>N</t>
        </is>
      </c>
      <c r="N171" t="n">
        <v>0</v>
      </c>
      <c r="O171" t="n">
        <v>1</v>
      </c>
      <c r="P171" t="n">
        <v>1</v>
      </c>
    </row>
    <row r="172">
      <c r="B172" t="n">
        <v>168</v>
      </c>
      <c r="C172" t="inlineStr">
        <is>
          <t>14326</t>
        </is>
      </c>
      <c r="D172" t="inlineStr">
        <is>
          <t>14326</t>
        </is>
      </c>
      <c r="G172" t="inlineStr">
        <is>
          <t>M29111</t>
        </is>
      </c>
      <c r="H172" t="inlineStr">
        <is>
          <t>E3021</t>
        </is>
      </c>
      <c r="I172" t="inlineStr">
        <is>
          <t>E30212E</t>
        </is>
      </c>
      <c r="J172" t="inlineStr">
        <is>
          <t>TOOL KIT,IMPROVISED - PAN EOD TECH A</t>
        </is>
      </c>
      <c r="K172" t="inlineStr">
        <is>
          <t>IS</t>
        </is>
      </c>
      <c r="L172" t="inlineStr">
        <is>
          <t>EA</t>
        </is>
      </c>
      <c r="M172" t="inlineStr">
        <is>
          <t>N</t>
        </is>
      </c>
      <c r="N172" t="n">
        <v>0</v>
      </c>
      <c r="O172" t="n">
        <v>4</v>
      </c>
      <c r="P172" t="n">
        <v>4</v>
      </c>
    </row>
    <row r="173">
      <c r="B173" t="n">
        <v>169</v>
      </c>
      <c r="C173" t="inlineStr">
        <is>
          <t>14326</t>
        </is>
      </c>
      <c r="D173" t="inlineStr">
        <is>
          <t>14326</t>
        </is>
      </c>
      <c r="G173" t="inlineStr">
        <is>
          <t>M29111</t>
        </is>
      </c>
      <c r="H173" t="inlineStr">
        <is>
          <t>E3070</t>
        </is>
      </c>
      <c r="I173" t="inlineStr">
        <is>
          <t>E30702E</t>
        </is>
      </c>
      <c r="J173" t="inlineStr">
        <is>
          <t>TOOL KIT,EXPLOSIVE - MK 1 MOD 3</t>
        </is>
      </c>
      <c r="K173" t="inlineStr">
        <is>
          <t>IS</t>
        </is>
      </c>
      <c r="L173" t="inlineStr">
        <is>
          <t>EA</t>
        </is>
      </c>
      <c r="M173" t="inlineStr">
        <is>
          <t>N</t>
        </is>
      </c>
      <c r="N173" t="n">
        <v>0</v>
      </c>
      <c r="O173" t="n">
        <v>1</v>
      </c>
      <c r="P173" t="n">
        <v>1</v>
      </c>
    </row>
    <row r="174">
      <c r="B174" t="n">
        <v>170</v>
      </c>
      <c r="C174" t="inlineStr">
        <is>
          <t>14326</t>
        </is>
      </c>
      <c r="D174" t="inlineStr">
        <is>
          <t>14326</t>
        </is>
      </c>
      <c r="G174" t="inlineStr">
        <is>
          <t>M29111</t>
        </is>
      </c>
      <c r="H174" t="inlineStr">
        <is>
          <t>E3080</t>
        </is>
      </c>
      <c r="I174" t="inlineStr">
        <is>
          <t>E30802E</t>
        </is>
      </c>
      <c r="J174" t="inlineStr">
        <is>
          <t>TOOL KIT,EXPLOSIVE - MK 2 MOD 1</t>
        </is>
      </c>
      <c r="K174" t="inlineStr">
        <is>
          <t>IS</t>
        </is>
      </c>
      <c r="L174" t="inlineStr">
        <is>
          <t>EA</t>
        </is>
      </c>
      <c r="M174" t="inlineStr">
        <is>
          <t>N</t>
        </is>
      </c>
      <c r="N174" t="n">
        <v>0</v>
      </c>
      <c r="O174" t="n">
        <v>4</v>
      </c>
      <c r="P174" t="n">
        <v>4</v>
      </c>
    </row>
    <row r="175">
      <c r="B175" t="n">
        <v>171</v>
      </c>
      <c r="C175" t="inlineStr">
        <is>
          <t>14345</t>
        </is>
      </c>
      <c r="D175" t="inlineStr">
        <is>
          <t>14345</t>
        </is>
      </c>
      <c r="G175" t="inlineStr">
        <is>
          <t>M29111</t>
        </is>
      </c>
      <c r="H175" t="inlineStr">
        <is>
          <t>E3093</t>
        </is>
      </c>
      <c r="I175" t="inlineStr">
        <is>
          <t>E30932B</t>
        </is>
      </c>
      <c r="J175" t="inlineStr">
        <is>
          <t>TOOL SET,INTERMEDIA - MK19 MOD3</t>
        </is>
      </c>
      <c r="K175" t="inlineStr">
        <is>
          <t>IS</t>
        </is>
      </c>
      <c r="L175" t="inlineStr">
        <is>
          <t>SE</t>
        </is>
      </c>
      <c r="M175" t="inlineStr">
        <is>
          <t>N</t>
        </is>
      </c>
      <c r="N175" t="n">
        <v>0</v>
      </c>
      <c r="O175" t="n">
        <v>1</v>
      </c>
      <c r="P175" t="n">
        <v>1</v>
      </c>
    </row>
    <row r="176">
      <c r="B176" t="n">
        <v>172</v>
      </c>
      <c r="C176" t="inlineStr">
        <is>
          <t>14345</t>
        </is>
      </c>
      <c r="D176" t="inlineStr">
        <is>
          <t>14345</t>
        </is>
      </c>
      <c r="G176" t="inlineStr">
        <is>
          <t>M29111</t>
        </is>
      </c>
      <c r="H176" t="inlineStr">
        <is>
          <t>E3094</t>
        </is>
      </c>
      <c r="I176" t="inlineStr">
        <is>
          <t>E30942B</t>
        </is>
      </c>
      <c r="J176" t="inlineStr">
        <is>
          <t>TOOL SET,ORGANIZATI - MK19 MOD3</t>
        </is>
      </c>
      <c r="K176" t="inlineStr">
        <is>
          <t>IS</t>
        </is>
      </c>
      <c r="L176" t="inlineStr"/>
      <c r="M176" t="inlineStr">
        <is>
          <t>N</t>
        </is>
      </c>
      <c r="N176" t="n">
        <v>0</v>
      </c>
      <c r="O176" t="n">
        <v>1</v>
      </c>
      <c r="P176" t="n">
        <v>1</v>
      </c>
    </row>
    <row r="177">
      <c r="B177" t="n">
        <v>173</v>
      </c>
      <c r="C177" t="inlineStr">
        <is>
          <t>14326</t>
        </is>
      </c>
      <c r="D177" t="inlineStr">
        <is>
          <t>14326</t>
        </is>
      </c>
      <c r="G177" t="inlineStr">
        <is>
          <t>M29111</t>
        </is>
      </c>
      <c r="H177" t="inlineStr">
        <is>
          <t>E3170</t>
        </is>
      </c>
      <c r="I177" t="inlineStr">
        <is>
          <t>E31702E</t>
        </is>
      </c>
      <c r="J177" t="inlineStr">
        <is>
          <t>TOOL KIT,FULL TRACK - SL3-03533A</t>
        </is>
      </c>
      <c r="K177" t="inlineStr">
        <is>
          <t>IS</t>
        </is>
      </c>
      <c r="L177" t="inlineStr">
        <is>
          <t>EA</t>
        </is>
      </c>
      <c r="M177" t="inlineStr">
        <is>
          <t>N</t>
        </is>
      </c>
      <c r="N177" t="n">
        <v>0</v>
      </c>
      <c r="O177" t="n">
        <v>0</v>
      </c>
      <c r="P177" t="n">
        <v>0</v>
      </c>
    </row>
    <row r="178">
      <c r="B178" t="n">
        <v>174</v>
      </c>
      <c r="C178" t="inlineStr">
        <is>
          <t>14345</t>
        </is>
      </c>
      <c r="D178" t="inlineStr">
        <is>
          <t>14345</t>
        </is>
      </c>
      <c r="G178" t="inlineStr">
        <is>
          <t>M29111</t>
        </is>
      </c>
      <c r="H178" t="inlineStr">
        <is>
          <t>E7900</t>
        </is>
      </c>
      <c r="I178" t="inlineStr">
        <is>
          <t>E79007B</t>
        </is>
      </c>
      <c r="J178" t="inlineStr">
        <is>
          <t>TOOL KIT,SMALL ARMS - TK-2111A</t>
        </is>
      </c>
      <c r="K178" t="inlineStr">
        <is>
          <t>IS</t>
        </is>
      </c>
      <c r="L178" t="inlineStr">
        <is>
          <t>KT</t>
        </is>
      </c>
      <c r="M178" t="inlineStr">
        <is>
          <t>N</t>
        </is>
      </c>
      <c r="N178" t="n">
        <v>0</v>
      </c>
      <c r="O178" t="n">
        <v>3</v>
      </c>
      <c r="P178" t="n">
        <v>3</v>
      </c>
    </row>
    <row r="179">
      <c r="B179" t="n">
        <v>175</v>
      </c>
      <c r="C179" t="inlineStr">
        <is>
          <t>14345</t>
        </is>
      </c>
      <c r="D179" t="inlineStr">
        <is>
          <t>14345</t>
        </is>
      </c>
      <c r="G179" t="inlineStr">
        <is>
          <t>M29111</t>
        </is>
      </c>
      <c r="H179" t="inlineStr">
        <is>
          <t>E7903</t>
        </is>
      </c>
      <c r="I179" t="inlineStr">
        <is>
          <t>E79037B</t>
        </is>
      </c>
      <c r="J179" t="inlineStr">
        <is>
          <t>SHOP EQUIPMENT CONT - SECM-V-2171</t>
        </is>
      </c>
      <c r="K179" t="inlineStr">
        <is>
          <t>IS</t>
        </is>
      </c>
      <c r="L179" t="inlineStr">
        <is>
          <t>EA</t>
        </is>
      </c>
      <c r="M179" t="inlineStr">
        <is>
          <t>N</t>
        </is>
      </c>
      <c r="N179" t="n">
        <v>0</v>
      </c>
      <c r="O179" t="n">
        <v>1</v>
      </c>
      <c r="P179" t="n">
        <v>1</v>
      </c>
    </row>
    <row r="180">
      <c r="B180" t="n">
        <v>176</v>
      </c>
      <c r="C180" t="inlineStr">
        <is>
          <t>21710</t>
        </is>
      </c>
      <c r="D180" t="inlineStr">
        <is>
          <t>21710</t>
        </is>
      </c>
      <c r="G180" t="inlineStr">
        <is>
          <t>M29111</t>
        </is>
      </c>
      <c r="H180" t="inlineStr">
        <is>
          <t>A0008</t>
        </is>
      </c>
      <c r="I180" t="inlineStr">
        <is>
          <t>A00087GA</t>
        </is>
      </c>
      <c r="J180" t="inlineStr">
        <is>
          <t>RADIO SET</t>
        </is>
      </c>
      <c r="K180" t="inlineStr">
        <is>
          <t>IS</t>
        </is>
      </c>
      <c r="L180" t="inlineStr">
        <is>
          <t>EA</t>
        </is>
      </c>
      <c r="M180" t="inlineStr"/>
      <c r="N180" t="n">
        <v>0</v>
      </c>
      <c r="O180" t="n">
        <v>0</v>
      </c>
      <c r="P180" t="n">
        <v>0</v>
      </c>
    </row>
    <row r="181">
      <c r="B181" t="n">
        <v>177</v>
      </c>
      <c r="C181" t="inlineStr">
        <is>
          <t>21710</t>
        </is>
      </c>
      <c r="D181" t="inlineStr">
        <is>
          <t>21710</t>
        </is>
      </c>
      <c r="G181" t="inlineStr">
        <is>
          <t>M29111</t>
        </is>
      </c>
      <c r="H181" t="inlineStr">
        <is>
          <t>A0022</t>
        </is>
      </c>
      <c r="I181" t="inlineStr">
        <is>
          <t>A00227GA</t>
        </is>
      </c>
      <c r="J181" t="inlineStr">
        <is>
          <t>COMPUTER SYSTEM,DIG - 16007A0000</t>
        </is>
      </c>
      <c r="K181" t="inlineStr">
        <is>
          <t>IS</t>
        </is>
      </c>
      <c r="L181" t="inlineStr">
        <is>
          <t>EA</t>
        </is>
      </c>
      <c r="M181" t="inlineStr"/>
      <c r="N181" t="n">
        <v>0</v>
      </c>
      <c r="O181" t="n">
        <v>0</v>
      </c>
      <c r="P181" t="n">
        <v>0</v>
      </c>
    </row>
    <row r="182">
      <c r="B182" t="n">
        <v>178</v>
      </c>
      <c r="C182" t="inlineStr">
        <is>
          <t>21710</t>
        </is>
      </c>
      <c r="D182" t="inlineStr">
        <is>
          <t>21710</t>
        </is>
      </c>
      <c r="G182" t="inlineStr">
        <is>
          <t>M29111</t>
        </is>
      </c>
      <c r="H182" t="inlineStr">
        <is>
          <t>A0073</t>
        </is>
      </c>
      <c r="I182" t="inlineStr">
        <is>
          <t>A00732BB</t>
        </is>
      </c>
      <c r="J182" t="inlineStr">
        <is>
          <t>CHARGER,BATTERY - BTC-70100</t>
        </is>
      </c>
      <c r="K182" t="inlineStr">
        <is>
          <t>IS</t>
        </is>
      </c>
      <c r="L182" t="inlineStr">
        <is>
          <t>EA</t>
        </is>
      </c>
      <c r="M182" t="inlineStr"/>
      <c r="N182" t="n">
        <v>0</v>
      </c>
      <c r="O182" t="n">
        <v>4</v>
      </c>
      <c r="P182" t="n">
        <v>4</v>
      </c>
    </row>
    <row r="183">
      <c r="B183" t="n">
        <v>179</v>
      </c>
      <c r="C183" t="inlineStr">
        <is>
          <t>21710</t>
        </is>
      </c>
      <c r="D183" t="inlineStr">
        <is>
          <t>21710</t>
        </is>
      </c>
      <c r="G183" t="inlineStr">
        <is>
          <t>M29111</t>
        </is>
      </c>
      <c r="H183" t="inlineStr">
        <is>
          <t>A1260</t>
        </is>
      </c>
      <c r="I183" t="inlineStr">
        <is>
          <t>A12607GK</t>
        </is>
      </c>
      <c r="J183" t="inlineStr">
        <is>
          <t>NAVIGATION SET,SATE - AN/PSN-13(A)</t>
        </is>
      </c>
      <c r="K183" t="inlineStr">
        <is>
          <t>IS</t>
        </is>
      </c>
      <c r="L183" t="inlineStr">
        <is>
          <t>EA</t>
        </is>
      </c>
      <c r="M183" t="inlineStr"/>
      <c r="N183" t="n">
        <v>0</v>
      </c>
      <c r="O183" t="n">
        <v>0</v>
      </c>
      <c r="P183" t="n">
        <v>0</v>
      </c>
    </row>
    <row r="184">
      <c r="B184" t="n">
        <v>180</v>
      </c>
      <c r="C184" t="inlineStr">
        <is>
          <t>21710</t>
        </is>
      </c>
      <c r="D184" t="inlineStr">
        <is>
          <t>21710</t>
        </is>
      </c>
      <c r="G184" t="inlineStr">
        <is>
          <t>M29111</t>
        </is>
      </c>
      <c r="H184" t="inlineStr">
        <is>
          <t>A1260</t>
        </is>
      </c>
      <c r="I184" t="inlineStr">
        <is>
          <t>A12607GL</t>
        </is>
      </c>
      <c r="J184" t="inlineStr">
        <is>
          <t>RECEIVER,RADIO NAVI - AN/PSN-13(B)</t>
        </is>
      </c>
      <c r="K184" t="inlineStr">
        <is>
          <t>DP</t>
        </is>
      </c>
      <c r="L184" t="inlineStr">
        <is>
          <t>EA</t>
        </is>
      </c>
      <c r="M184" t="inlineStr"/>
      <c r="N184" t="n">
        <v>0</v>
      </c>
      <c r="O184" t="n">
        <v>0</v>
      </c>
      <c r="P184" t="n">
        <v>0</v>
      </c>
    </row>
    <row r="185">
      <c r="B185" t="n">
        <v>181</v>
      </c>
      <c r="C185" t="inlineStr">
        <is>
          <t>21710</t>
        </is>
      </c>
      <c r="D185" t="inlineStr">
        <is>
          <t>21710</t>
        </is>
      </c>
      <c r="G185" t="inlineStr">
        <is>
          <t>M29111</t>
        </is>
      </c>
      <c r="H185" t="inlineStr">
        <is>
          <t>A2075</t>
        </is>
      </c>
      <c r="I185" t="inlineStr">
        <is>
          <t>A20757GB</t>
        </is>
      </c>
      <c r="J185" t="inlineStr">
        <is>
          <t>RADIO SET - A3252623-3</t>
        </is>
      </c>
      <c r="K185" t="inlineStr">
        <is>
          <t>PL</t>
        </is>
      </c>
      <c r="L185" t="inlineStr">
        <is>
          <t>EA</t>
        </is>
      </c>
      <c r="M185" t="inlineStr"/>
      <c r="N185" t="n">
        <v>0</v>
      </c>
      <c r="O185" t="n">
        <v>0</v>
      </c>
      <c r="P185" t="n">
        <v>0</v>
      </c>
    </row>
    <row r="186">
      <c r="B186" t="n">
        <v>182</v>
      </c>
      <c r="C186" t="inlineStr">
        <is>
          <t>14326</t>
        </is>
      </c>
      <c r="D186" t="inlineStr">
        <is>
          <t>14326</t>
        </is>
      </c>
      <c r="G186" t="inlineStr">
        <is>
          <t>M29111</t>
        </is>
      </c>
      <c r="H186" t="inlineStr">
        <is>
          <t>A7002</t>
        </is>
      </c>
      <c r="I186" t="inlineStr">
        <is>
          <t>A70027GE</t>
        </is>
      </c>
      <c r="J186" t="inlineStr">
        <is>
          <t>ANALYZER,SPECTRUM - FSH20</t>
        </is>
      </c>
      <c r="K186" t="inlineStr">
        <is>
          <t>IS</t>
        </is>
      </c>
      <c r="L186" t="inlineStr">
        <is>
          <t>EA</t>
        </is>
      </c>
      <c r="M186" t="inlineStr"/>
      <c r="N186" t="n">
        <v>0</v>
      </c>
      <c r="O186" t="n">
        <v>1</v>
      </c>
      <c r="P186" t="n">
        <v>1</v>
      </c>
    </row>
    <row r="187">
      <c r="B187" t="n">
        <v>183</v>
      </c>
      <c r="C187" t="inlineStr">
        <is>
          <t>14345</t>
        </is>
      </c>
      <c r="D187" t="inlineStr">
        <is>
          <t>14345</t>
        </is>
      </c>
      <c r="G187" t="inlineStr">
        <is>
          <t>M29111</t>
        </is>
      </c>
      <c r="H187" t="inlineStr">
        <is>
          <t>A8001</t>
        </is>
      </c>
      <c r="I187" t="inlineStr">
        <is>
          <t>A80017GA</t>
        </is>
      </c>
      <c r="J187" t="inlineStr">
        <is>
          <t>ENCRYPTION-DECRYPTI - KGV-72</t>
        </is>
      </c>
      <c r="K187" t="inlineStr">
        <is>
          <t>IS</t>
        </is>
      </c>
      <c r="L187" t="inlineStr">
        <is>
          <t>EA</t>
        </is>
      </c>
      <c r="M187" t="inlineStr"/>
      <c r="N187" t="n">
        <v>0</v>
      </c>
      <c r="O187" t="n">
        <v>0</v>
      </c>
      <c r="P187" t="n">
        <v>0</v>
      </c>
    </row>
    <row r="188">
      <c r="B188" t="n">
        <v>184</v>
      </c>
      <c r="C188" t="inlineStr">
        <is>
          <t>14345</t>
        </is>
      </c>
      <c r="D188" t="inlineStr">
        <is>
          <t>14345</t>
        </is>
      </c>
      <c r="G188" t="inlineStr">
        <is>
          <t>M29111</t>
        </is>
      </c>
      <c r="H188" t="inlineStr">
        <is>
          <t>A8006</t>
        </is>
      </c>
      <c r="I188" t="inlineStr">
        <is>
          <t>A80067GC</t>
        </is>
      </c>
      <c r="J188" t="inlineStr">
        <is>
          <t>ENCRYPTION-DECRYPTI - KG-250XS</t>
        </is>
      </c>
      <c r="K188" t="inlineStr">
        <is>
          <t>IS</t>
        </is>
      </c>
      <c r="L188" t="inlineStr">
        <is>
          <t>EA</t>
        </is>
      </c>
      <c r="M188" t="inlineStr"/>
      <c r="N188" t="n">
        <v>0</v>
      </c>
      <c r="O188" t="n">
        <v>4</v>
      </c>
      <c r="P188" t="n">
        <v>4</v>
      </c>
    </row>
    <row r="189">
      <c r="B189" t="n">
        <v>185</v>
      </c>
      <c r="C189" t="inlineStr">
        <is>
          <t>14345</t>
        </is>
      </c>
      <c r="D189" t="inlineStr">
        <is>
          <t>14345</t>
        </is>
      </c>
      <c r="G189" t="inlineStr">
        <is>
          <t>M29111</t>
        </is>
      </c>
      <c r="H189" t="inlineStr">
        <is>
          <t>A8024</t>
        </is>
      </c>
      <c r="I189" t="inlineStr">
        <is>
          <t>A80247GB</t>
        </is>
      </c>
      <c r="J189" t="inlineStr">
        <is>
          <t>DECODER-RECEIVER - KSR-4</t>
        </is>
      </c>
      <c r="K189" t="inlineStr">
        <is>
          <t>IS</t>
        </is>
      </c>
      <c r="L189" t="inlineStr">
        <is>
          <t>EA</t>
        </is>
      </c>
      <c r="M189" t="inlineStr"/>
      <c r="N189" t="n">
        <v>0</v>
      </c>
      <c r="O189" t="n">
        <v>1</v>
      </c>
      <c r="P189" t="n">
        <v>1</v>
      </c>
    </row>
    <row r="190">
      <c r="B190" t="n">
        <v>186</v>
      </c>
      <c r="C190" t="inlineStr">
        <is>
          <t>61072</t>
        </is>
      </c>
      <c r="D190" t="inlineStr">
        <is>
          <t>61072</t>
        </is>
      </c>
      <c r="G190" t="inlineStr">
        <is>
          <t>M29111</t>
        </is>
      </c>
      <c r="H190" t="inlineStr">
        <is>
          <t>A9060</t>
        </is>
      </c>
      <c r="I190" t="inlineStr">
        <is>
          <t>A90607GA</t>
        </is>
      </c>
      <c r="J190" t="inlineStr">
        <is>
          <t>COMPUTER SYSTEM,DIG - CF-WGP315</t>
        </is>
      </c>
      <c r="K190" t="inlineStr">
        <is>
          <t>DP</t>
        </is>
      </c>
      <c r="L190" t="inlineStr">
        <is>
          <t>EA</t>
        </is>
      </c>
      <c r="M190" t="inlineStr"/>
      <c r="N190" t="n">
        <v>0</v>
      </c>
      <c r="O190" t="n">
        <v>1</v>
      </c>
      <c r="P190" t="n">
        <v>1</v>
      </c>
    </row>
    <row r="191">
      <c r="B191" t="n">
        <v>187</v>
      </c>
      <c r="C191" t="inlineStr">
        <is>
          <t>61072</t>
        </is>
      </c>
      <c r="D191" t="inlineStr">
        <is>
          <t>61072</t>
        </is>
      </c>
      <c r="G191" t="inlineStr">
        <is>
          <t>M29111</t>
        </is>
      </c>
      <c r="H191" t="inlineStr">
        <is>
          <t>A9060</t>
        </is>
      </c>
      <c r="I191" t="inlineStr">
        <is>
          <t>A90607GC</t>
        </is>
      </c>
      <c r="J191" t="inlineStr">
        <is>
          <t>COMPUTER SYSTEM,DIG - CF-WGP315</t>
        </is>
      </c>
      <c r="K191" t="inlineStr">
        <is>
          <t>DP</t>
        </is>
      </c>
      <c r="L191" t="inlineStr">
        <is>
          <t>EA</t>
        </is>
      </c>
      <c r="M191" t="inlineStr"/>
      <c r="N191" t="n">
        <v>0</v>
      </c>
      <c r="O191" t="n">
        <v>1</v>
      </c>
      <c r="P191" t="n">
        <v>1</v>
      </c>
    </row>
    <row r="192">
      <c r="B192" t="n">
        <v>188</v>
      </c>
      <c r="C192" t="inlineStr">
        <is>
          <t>21710</t>
        </is>
      </c>
      <c r="D192" t="inlineStr">
        <is>
          <t>21710</t>
        </is>
      </c>
      <c r="G192" t="inlineStr">
        <is>
          <t>M29111</t>
        </is>
      </c>
      <c r="H192" t="inlineStr">
        <is>
          <t>B0008</t>
        </is>
      </c>
      <c r="I192" t="inlineStr">
        <is>
          <t>B00087BB</t>
        </is>
      </c>
      <c r="J192" t="inlineStr">
        <is>
          <t>AIR CONDITIONER - GL0583ZAADWYX11</t>
        </is>
      </c>
      <c r="K192" t="inlineStr">
        <is>
          <t>IS</t>
        </is>
      </c>
      <c r="L192" t="inlineStr">
        <is>
          <t>EA</t>
        </is>
      </c>
      <c r="M192" t="inlineStr"/>
      <c r="N192" t="n">
        <v>0</v>
      </c>
      <c r="O192" t="n">
        <v>1</v>
      </c>
      <c r="P192" t="n">
        <v>1</v>
      </c>
    </row>
    <row r="193">
      <c r="B193" t="n">
        <v>189</v>
      </c>
      <c r="C193" t="inlineStr">
        <is>
          <t>21710</t>
        </is>
      </c>
      <c r="D193" t="inlineStr">
        <is>
          <t>21710</t>
        </is>
      </c>
      <c r="G193" t="inlineStr">
        <is>
          <t>M29111</t>
        </is>
      </c>
      <c r="H193" t="inlineStr">
        <is>
          <t>B0074</t>
        </is>
      </c>
      <c r="I193" t="inlineStr">
        <is>
          <t>B00747BC</t>
        </is>
      </c>
      <c r="J193" t="inlineStr">
        <is>
          <t>AIR CONDITIONER - GSQ396ZABNWFX11</t>
        </is>
      </c>
      <c r="K193" t="inlineStr">
        <is>
          <t>IS</t>
        </is>
      </c>
      <c r="L193" t="inlineStr">
        <is>
          <t>EA</t>
        </is>
      </c>
      <c r="M193" t="inlineStr"/>
      <c r="N193" t="n">
        <v>0</v>
      </c>
      <c r="O193" t="n">
        <v>1</v>
      </c>
      <c r="P193" t="n">
        <v>1</v>
      </c>
    </row>
    <row r="194">
      <c r="B194" t="n">
        <v>190</v>
      </c>
      <c r="C194" t="inlineStr">
        <is>
          <t>21710</t>
        </is>
      </c>
      <c r="D194" t="inlineStr">
        <is>
          <t>21710</t>
        </is>
      </c>
      <c r="G194" t="inlineStr">
        <is>
          <t>M29111</t>
        </is>
      </c>
      <c r="H194" t="inlineStr">
        <is>
          <t>B0980</t>
        </is>
      </c>
      <c r="I194" t="inlineStr">
        <is>
          <t>B09807BA</t>
        </is>
      </c>
      <c r="J194" t="inlineStr">
        <is>
          <t>GENERATOR SET,DIESE - MEP531A</t>
        </is>
      </c>
      <c r="K194" t="inlineStr">
        <is>
          <t>IS</t>
        </is>
      </c>
      <c r="L194" t="inlineStr">
        <is>
          <t>EA</t>
        </is>
      </c>
      <c r="M194" t="inlineStr"/>
      <c r="N194" t="n">
        <v>0</v>
      </c>
      <c r="O194" t="n">
        <v>1</v>
      </c>
      <c r="P194" t="n">
        <v>1</v>
      </c>
    </row>
    <row r="195">
      <c r="B195" t="n">
        <v>191</v>
      </c>
      <c r="C195" t="inlineStr">
        <is>
          <t>44112</t>
        </is>
      </c>
      <c r="D195" t="inlineStr">
        <is>
          <t>44112</t>
        </is>
      </c>
      <c r="G195" t="inlineStr">
        <is>
          <t>M29111</t>
        </is>
      </c>
      <c r="H195" t="inlineStr">
        <is>
          <t>C0171</t>
        </is>
      </c>
      <c r="I195" t="inlineStr">
        <is>
          <t>C01712BA</t>
        </is>
      </c>
      <c r="J195" t="inlineStr">
        <is>
          <t>FLASHLIGHT - 14514</t>
        </is>
      </c>
      <c r="K195" t="inlineStr">
        <is>
          <t>IS</t>
        </is>
      </c>
      <c r="L195" t="inlineStr">
        <is>
          <t>EA</t>
        </is>
      </c>
      <c r="M195" t="inlineStr"/>
      <c r="N195" t="n">
        <v>0</v>
      </c>
      <c r="O195" t="n">
        <v>13</v>
      </c>
      <c r="P195" t="n">
        <v>13</v>
      </c>
    </row>
    <row r="196">
      <c r="B196" t="n">
        <v>192</v>
      </c>
      <c r="C196" t="inlineStr">
        <is>
          <t>44112</t>
        </is>
      </c>
      <c r="D196" t="inlineStr">
        <is>
          <t>44112</t>
        </is>
      </c>
      <c r="G196" t="inlineStr">
        <is>
          <t>M29111</t>
        </is>
      </c>
      <c r="H196" t="inlineStr">
        <is>
          <t>C2283</t>
        </is>
      </c>
      <c r="I196" t="inlineStr">
        <is>
          <t>C22832BA</t>
        </is>
      </c>
      <c r="J196" t="inlineStr">
        <is>
          <t>DETECTOR KIT,GAS - MULTIRAE PRO</t>
        </is>
      </c>
      <c r="K196" t="inlineStr">
        <is>
          <t>IS</t>
        </is>
      </c>
      <c r="L196" t="inlineStr">
        <is>
          <t>KT</t>
        </is>
      </c>
      <c r="M196" t="inlineStr"/>
      <c r="N196" t="n">
        <v>0</v>
      </c>
      <c r="O196" t="n">
        <v>0</v>
      </c>
      <c r="P196" t="n">
        <v>0</v>
      </c>
    </row>
    <row r="197">
      <c r="B197" t="n">
        <v>193</v>
      </c>
      <c r="C197" t="inlineStr">
        <is>
          <t>21451</t>
        </is>
      </c>
      <c r="D197" t="inlineStr">
        <is>
          <t>21451</t>
        </is>
      </c>
      <c r="G197" t="inlineStr">
        <is>
          <t>M29111</t>
        </is>
      </c>
      <c r="H197" t="inlineStr">
        <is>
          <t>C4960</t>
        </is>
      </c>
      <c r="I197" t="inlineStr">
        <is>
          <t>C49602TA</t>
        </is>
      </c>
      <c r="J197" t="inlineStr">
        <is>
          <t>GRINDING MACHINE,UT - MIL-G-80260</t>
        </is>
      </c>
      <c r="K197" t="inlineStr">
        <is>
          <t>DP</t>
        </is>
      </c>
      <c r="L197" t="inlineStr">
        <is>
          <t>EA</t>
        </is>
      </c>
      <c r="M197" t="inlineStr"/>
      <c r="N197" t="n">
        <v>0</v>
      </c>
      <c r="O197" t="n">
        <v>1</v>
      </c>
      <c r="P197" t="n">
        <v>1</v>
      </c>
    </row>
    <row r="198">
      <c r="B198" t="n">
        <v>194</v>
      </c>
      <c r="C198" t="inlineStr">
        <is>
          <t>21451</t>
        </is>
      </c>
      <c r="D198" t="inlineStr">
        <is>
          <t>21451</t>
        </is>
      </c>
      <c r="G198" t="inlineStr">
        <is>
          <t>M29111</t>
        </is>
      </c>
      <c r="H198" t="inlineStr">
        <is>
          <t>D0001</t>
        </is>
      </c>
      <c r="I198" t="inlineStr">
        <is>
          <t>D00012BA</t>
        </is>
      </c>
      <c r="J198" t="inlineStr">
        <is>
          <t>ACCESSORY KIT,VEHIC - 57K8831</t>
        </is>
      </c>
      <c r="K198" t="inlineStr">
        <is>
          <t>IS</t>
        </is>
      </c>
      <c r="L198" t="inlineStr">
        <is>
          <t>EA</t>
        </is>
      </c>
      <c r="M198" t="inlineStr"/>
      <c r="N198" t="n">
        <v>0</v>
      </c>
      <c r="O198" t="n">
        <v>2</v>
      </c>
      <c r="P198" t="n">
        <v>2</v>
      </c>
    </row>
    <row r="199">
      <c r="B199" t="n">
        <v>195</v>
      </c>
      <c r="C199" t="inlineStr">
        <is>
          <t>21451</t>
        </is>
      </c>
      <c r="D199" t="inlineStr">
        <is>
          <t>21451</t>
        </is>
      </c>
      <c r="G199" t="inlineStr">
        <is>
          <t>M29111</t>
        </is>
      </c>
      <c r="H199" t="inlineStr">
        <is>
          <t>D0001</t>
        </is>
      </c>
      <c r="I199" t="inlineStr">
        <is>
          <t>D00012BA</t>
        </is>
      </c>
      <c r="J199" t="inlineStr">
        <is>
          <t>ACCESSORY KIT,VEHIC - 57K8831</t>
        </is>
      </c>
      <c r="K199" t="inlineStr">
        <is>
          <t>IS</t>
        </is>
      </c>
      <c r="L199" t="inlineStr">
        <is>
          <t>EA</t>
        </is>
      </c>
      <c r="M199" t="inlineStr"/>
      <c r="N199" t="n">
        <v>0</v>
      </c>
      <c r="O199" t="n">
        <v>4</v>
      </c>
      <c r="P199" t="n">
        <v>4</v>
      </c>
    </row>
    <row r="200">
      <c r="B200" t="n">
        <v>196</v>
      </c>
      <c r="C200" t="inlineStr">
        <is>
          <t>21451</t>
        </is>
      </c>
      <c r="D200" t="inlineStr">
        <is>
          <t>21451</t>
        </is>
      </c>
      <c r="G200" t="inlineStr">
        <is>
          <t>M29111</t>
        </is>
      </c>
      <c r="H200" t="inlineStr">
        <is>
          <t>D0019</t>
        </is>
      </c>
      <c r="I200" t="inlineStr">
        <is>
          <t>D00192BA</t>
        </is>
      </c>
      <c r="J200" t="inlineStr">
        <is>
          <t>ACCESSORY KIT,VEHIC - 57K8832</t>
        </is>
      </c>
      <c r="K200" t="inlineStr">
        <is>
          <t>IS</t>
        </is>
      </c>
      <c r="L200" t="inlineStr">
        <is>
          <t>EA</t>
        </is>
      </c>
      <c r="M200" t="inlineStr"/>
      <c r="N200" t="n">
        <v>0</v>
      </c>
      <c r="O200" t="n">
        <v>2</v>
      </c>
      <c r="P200" t="n">
        <v>2</v>
      </c>
    </row>
    <row r="201">
      <c r="B201" t="n">
        <v>197</v>
      </c>
      <c r="C201" t="inlineStr">
        <is>
          <t>21710</t>
        </is>
      </c>
      <c r="D201" t="inlineStr">
        <is>
          <t>21710</t>
        </is>
      </c>
      <c r="G201" t="inlineStr">
        <is>
          <t>M29111</t>
        </is>
      </c>
      <c r="H201" t="inlineStr">
        <is>
          <t>D0022</t>
        </is>
      </c>
      <c r="I201" t="inlineStr">
        <is>
          <t>D00227KA</t>
        </is>
      </c>
      <c r="J201" t="inlineStr">
        <is>
          <t>TRUCK,UTILITY - M1152</t>
        </is>
      </c>
      <c r="K201" t="inlineStr">
        <is>
          <t>IS</t>
        </is>
      </c>
      <c r="L201" t="inlineStr">
        <is>
          <t>EA</t>
        </is>
      </c>
      <c r="M201" t="inlineStr"/>
      <c r="N201" t="n">
        <v>0</v>
      </c>
      <c r="O201" t="n">
        <v>0</v>
      </c>
      <c r="P201" t="n">
        <v>0</v>
      </c>
    </row>
    <row r="202">
      <c r="B202" t="n">
        <v>198</v>
      </c>
      <c r="C202" t="inlineStr">
        <is>
          <t>21710</t>
        </is>
      </c>
      <c r="D202" t="inlineStr">
        <is>
          <t>21710</t>
        </is>
      </c>
      <c r="G202" t="inlineStr">
        <is>
          <t>M29111</t>
        </is>
      </c>
      <c r="H202" t="inlineStr">
        <is>
          <t>D0048</t>
        </is>
      </c>
      <c r="I202" t="inlineStr">
        <is>
          <t>D00487KA</t>
        </is>
      </c>
      <c r="J202" t="inlineStr">
        <is>
          <t>TRUCK,UTILITY - M1279A1</t>
        </is>
      </c>
      <c r="K202" t="inlineStr">
        <is>
          <t>IS</t>
        </is>
      </c>
      <c r="L202" t="inlineStr">
        <is>
          <t>EA</t>
        </is>
      </c>
      <c r="M202" t="inlineStr"/>
      <c r="N202" t="n">
        <v>0</v>
      </c>
      <c r="O202" t="n">
        <v>1</v>
      </c>
      <c r="P202" t="n">
        <v>1</v>
      </c>
    </row>
    <row r="203">
      <c r="B203" t="n">
        <v>199</v>
      </c>
      <c r="C203" t="inlineStr">
        <is>
          <t>14345</t>
        </is>
      </c>
      <c r="D203" t="inlineStr">
        <is>
          <t>14345</t>
        </is>
      </c>
      <c r="G203" t="inlineStr">
        <is>
          <t>M29111</t>
        </is>
      </c>
      <c r="H203" t="inlineStr">
        <is>
          <t>E0070</t>
        </is>
      </c>
      <c r="I203" t="inlineStr">
        <is>
          <t>E00707BA</t>
        </is>
      </c>
      <c r="J203" t="inlineStr">
        <is>
          <t>DSS TRAILER - MMC20</t>
        </is>
      </c>
      <c r="K203" t="inlineStr">
        <is>
          <t>IS</t>
        </is>
      </c>
      <c r="L203" t="inlineStr">
        <is>
          <t>EA</t>
        </is>
      </c>
      <c r="M203" t="inlineStr"/>
      <c r="N203" t="n">
        <v>0</v>
      </c>
      <c r="O203" t="n">
        <v>1</v>
      </c>
      <c r="P203" t="n">
        <v>1</v>
      </c>
    </row>
    <row r="204">
      <c r="B204" t="n">
        <v>200</v>
      </c>
      <c r="C204" t="inlineStr">
        <is>
          <t>14345</t>
        </is>
      </c>
      <c r="D204" t="inlineStr">
        <is>
          <t>14345</t>
        </is>
      </c>
      <c r="G204" t="inlineStr">
        <is>
          <t>M29111</t>
        </is>
      </c>
      <c r="H204" t="inlineStr">
        <is>
          <t>E0071</t>
        </is>
      </c>
      <c r="I204" t="inlineStr">
        <is>
          <t>E00712BA</t>
        </is>
      </c>
      <c r="J204" t="inlineStr">
        <is>
          <t>ARMOR SET,SUPPLEMEN - MCTAGS</t>
        </is>
      </c>
      <c r="K204" t="inlineStr">
        <is>
          <t>IS</t>
        </is>
      </c>
      <c r="L204" t="inlineStr">
        <is>
          <t>SE</t>
        </is>
      </c>
      <c r="M204" t="inlineStr"/>
      <c r="N204" t="n">
        <v>0</v>
      </c>
      <c r="O204" t="n">
        <v>0</v>
      </c>
      <c r="P204" t="n">
        <v>0</v>
      </c>
    </row>
    <row r="205">
      <c r="B205" t="n">
        <v>201</v>
      </c>
      <c r="C205" t="inlineStr">
        <is>
          <t>14345</t>
        </is>
      </c>
      <c r="D205" t="inlineStr">
        <is>
          <t>14345</t>
        </is>
      </c>
      <c r="G205" t="inlineStr">
        <is>
          <t>M29111</t>
        </is>
      </c>
      <c r="H205" t="inlineStr">
        <is>
          <t>E0071</t>
        </is>
      </c>
      <c r="I205" t="inlineStr">
        <is>
          <t>E00712BD</t>
        </is>
      </c>
      <c r="J205" t="inlineStr">
        <is>
          <t>PLATFORM,GUNNER,VEH - RH-GPK</t>
        </is>
      </c>
      <c r="K205" t="inlineStr">
        <is>
          <t>IS</t>
        </is>
      </c>
      <c r="L205" t="inlineStr">
        <is>
          <t>EA</t>
        </is>
      </c>
      <c r="M205" t="inlineStr"/>
      <c r="N205" t="n">
        <v>0</v>
      </c>
      <c r="O205" t="n">
        <v>2</v>
      </c>
      <c r="P205" t="n">
        <v>2</v>
      </c>
    </row>
    <row r="206">
      <c r="B206" t="n">
        <v>202</v>
      </c>
      <c r="C206" t="inlineStr">
        <is>
          <t>14345</t>
        </is>
      </c>
      <c r="D206" t="inlineStr">
        <is>
          <t>14345</t>
        </is>
      </c>
      <c r="G206" t="inlineStr">
        <is>
          <t>M29111</t>
        </is>
      </c>
      <c r="H206" t="inlineStr">
        <is>
          <t>E0080</t>
        </is>
      </c>
      <c r="I206" t="inlineStr">
        <is>
          <t>E00807BA</t>
        </is>
      </c>
      <c r="J206" t="inlineStr">
        <is>
          <t>GENERATOR,OXYGEN-NI - N2GEN</t>
        </is>
      </c>
      <c r="K206" t="inlineStr">
        <is>
          <t>IS</t>
        </is>
      </c>
      <c r="L206" t="inlineStr">
        <is>
          <t>EA</t>
        </is>
      </c>
      <c r="M206" t="inlineStr"/>
      <c r="N206" t="n">
        <v>0</v>
      </c>
      <c r="O206" t="n">
        <v>1</v>
      </c>
      <c r="P206" t="n">
        <v>1</v>
      </c>
    </row>
    <row r="207">
      <c r="B207" t="n">
        <v>203</v>
      </c>
      <c r="C207" t="inlineStr">
        <is>
          <t>14326</t>
        </is>
      </c>
      <c r="D207" t="inlineStr">
        <is>
          <t>14326</t>
        </is>
      </c>
      <c r="G207" t="inlineStr">
        <is>
          <t>M29111</t>
        </is>
      </c>
      <c r="H207" t="inlineStr">
        <is>
          <t>E0085</t>
        </is>
      </c>
      <c r="I207" t="inlineStr">
        <is>
          <t>E00852EA</t>
        </is>
      </c>
      <c r="J207" t="inlineStr">
        <is>
          <t>DIAL BORE GAGE,MODE - M1021</t>
        </is>
      </c>
      <c r="K207" t="inlineStr">
        <is>
          <t>IS</t>
        </is>
      </c>
      <c r="L207" t="inlineStr">
        <is>
          <t>EA</t>
        </is>
      </c>
      <c r="M207" t="inlineStr"/>
      <c r="N207" t="n">
        <v>0</v>
      </c>
      <c r="O207" t="n">
        <v>1</v>
      </c>
      <c r="P207" t="n">
        <v>1</v>
      </c>
    </row>
    <row r="208">
      <c r="B208" t="n">
        <v>204</v>
      </c>
      <c r="C208" t="inlineStr">
        <is>
          <t>14345</t>
        </is>
      </c>
      <c r="D208" t="inlineStr">
        <is>
          <t>14345</t>
        </is>
      </c>
      <c r="G208" t="inlineStr">
        <is>
          <t>M29111</t>
        </is>
      </c>
      <c r="H208" t="inlineStr">
        <is>
          <t>E0116</t>
        </is>
      </c>
      <c r="I208" t="inlineStr">
        <is>
          <t>E01162MA</t>
        </is>
      </c>
      <c r="J208" t="inlineStr">
        <is>
          <t>STOW AND GO KIT COM - M32A1</t>
        </is>
      </c>
      <c r="K208" t="inlineStr">
        <is>
          <t>IS</t>
        </is>
      </c>
      <c r="L208" t="inlineStr">
        <is>
          <t>EA</t>
        </is>
      </c>
      <c r="M208" t="inlineStr"/>
      <c r="N208" t="n">
        <v>0</v>
      </c>
      <c r="O208" t="n">
        <v>1</v>
      </c>
      <c r="P208" t="n">
        <v>1</v>
      </c>
    </row>
    <row r="209">
      <c r="B209" t="n">
        <v>205</v>
      </c>
      <c r="C209" t="inlineStr">
        <is>
          <t>14326</t>
        </is>
      </c>
      <c r="D209" t="inlineStr">
        <is>
          <t>14326</t>
        </is>
      </c>
      <c r="G209" t="inlineStr">
        <is>
          <t>M29111</t>
        </is>
      </c>
      <c r="H209" t="inlineStr">
        <is>
          <t>E0139</t>
        </is>
      </c>
      <c r="I209" t="inlineStr">
        <is>
          <t>E01392EA</t>
        </is>
      </c>
      <c r="J209" t="inlineStr">
        <is>
          <t>BORESCOPE - M1026</t>
        </is>
      </c>
      <c r="K209" t="inlineStr">
        <is>
          <t>IS</t>
        </is>
      </c>
      <c r="L209" t="inlineStr">
        <is>
          <t>EA</t>
        </is>
      </c>
      <c r="M209" t="inlineStr"/>
      <c r="N209" t="n">
        <v>0</v>
      </c>
      <c r="O209" t="n">
        <v>1</v>
      </c>
      <c r="P209" t="n">
        <v>1</v>
      </c>
    </row>
    <row r="210">
      <c r="B210" t="n">
        <v>206</v>
      </c>
      <c r="C210" t="inlineStr">
        <is>
          <t>14326</t>
        </is>
      </c>
      <c r="D210" t="inlineStr">
        <is>
          <t>14326</t>
        </is>
      </c>
      <c r="G210" t="inlineStr">
        <is>
          <t>M29111</t>
        </is>
      </c>
      <c r="H210" t="inlineStr">
        <is>
          <t>E0139</t>
        </is>
      </c>
      <c r="I210" t="inlineStr">
        <is>
          <t>E01392EB</t>
        </is>
      </c>
      <c r="J210" t="inlineStr">
        <is>
          <t>BORESCOPE,VIDEO - M1026A1</t>
        </is>
      </c>
      <c r="K210" t="inlineStr">
        <is>
          <t>IS</t>
        </is>
      </c>
      <c r="L210" t="inlineStr">
        <is>
          <t>EA</t>
        </is>
      </c>
      <c r="M210" t="inlineStr"/>
      <c r="N210" t="n">
        <v>0</v>
      </c>
      <c r="O210" t="n">
        <v>1</v>
      </c>
      <c r="P210" t="n">
        <v>1</v>
      </c>
    </row>
    <row r="211">
      <c r="B211" t="n">
        <v>207</v>
      </c>
      <c r="C211" t="inlineStr">
        <is>
          <t>14345</t>
        </is>
      </c>
      <c r="D211" t="inlineStr">
        <is>
          <t>14345</t>
        </is>
      </c>
      <c r="G211" t="inlineStr">
        <is>
          <t>M29111</t>
        </is>
      </c>
      <c r="H211" t="inlineStr">
        <is>
          <t>E0956</t>
        </is>
      </c>
      <c r="I211" t="inlineStr">
        <is>
          <t>E09562BA</t>
        </is>
      </c>
      <c r="J211" t="inlineStr">
        <is>
          <t>BORELIGHT SYSTEM,LA - LBS-300-A2</t>
        </is>
      </c>
      <c r="K211" t="inlineStr">
        <is>
          <t>IS</t>
        </is>
      </c>
      <c r="L211" t="inlineStr">
        <is>
          <t>EA</t>
        </is>
      </c>
      <c r="M211" t="inlineStr"/>
      <c r="N211" t="n">
        <v>0</v>
      </c>
      <c r="O211" t="n">
        <v>2</v>
      </c>
      <c r="P211" t="n">
        <v>2</v>
      </c>
    </row>
    <row r="212">
      <c r="B212" t="n">
        <v>208</v>
      </c>
      <c r="C212" t="inlineStr">
        <is>
          <t>14345</t>
        </is>
      </c>
      <c r="D212" t="inlineStr">
        <is>
          <t>14345</t>
        </is>
      </c>
      <c r="G212" t="inlineStr">
        <is>
          <t>M29111</t>
        </is>
      </c>
      <c r="H212" t="inlineStr">
        <is>
          <t>E0989</t>
        </is>
      </c>
      <c r="I212" t="inlineStr">
        <is>
          <t>E09897MA</t>
        </is>
      </c>
      <c r="J212" t="inlineStr">
        <is>
          <t>MACHINE GUN,7.62 MI - M240B</t>
        </is>
      </c>
      <c r="K212" t="inlineStr">
        <is>
          <t>IS</t>
        </is>
      </c>
      <c r="L212" t="inlineStr">
        <is>
          <t>EA</t>
        </is>
      </c>
      <c r="M212" t="inlineStr"/>
      <c r="N212" t="n">
        <v>0</v>
      </c>
      <c r="O212" t="n">
        <v>0</v>
      </c>
      <c r="P212" t="n">
        <v>0</v>
      </c>
    </row>
    <row r="213">
      <c r="B213" t="n">
        <v>209</v>
      </c>
      <c r="C213" t="inlineStr">
        <is>
          <t>14345</t>
        </is>
      </c>
      <c r="D213" t="inlineStr">
        <is>
          <t>14345</t>
        </is>
      </c>
      <c r="G213" t="inlineStr">
        <is>
          <t>M29111</t>
        </is>
      </c>
      <c r="H213" t="inlineStr">
        <is>
          <t>E1120</t>
        </is>
      </c>
      <c r="I213" t="inlineStr">
        <is>
          <t>E11202BA</t>
        </is>
      </c>
      <c r="J213" t="inlineStr">
        <is>
          <t>MOUNT,TRIPOD,MACHIN - M122A1</t>
        </is>
      </c>
      <c r="K213" t="inlineStr">
        <is>
          <t>IS</t>
        </is>
      </c>
      <c r="L213" t="inlineStr">
        <is>
          <t>EA</t>
        </is>
      </c>
      <c r="M213" t="inlineStr"/>
      <c r="N213" t="n">
        <v>0</v>
      </c>
      <c r="O213" t="n">
        <v>0</v>
      </c>
      <c r="P213" t="n">
        <v>0</v>
      </c>
    </row>
    <row r="214">
      <c r="B214" t="n">
        <v>210</v>
      </c>
      <c r="C214" t="inlineStr">
        <is>
          <t>14345</t>
        </is>
      </c>
      <c r="D214" t="inlineStr">
        <is>
          <t>14345</t>
        </is>
      </c>
      <c r="G214" t="inlineStr">
        <is>
          <t>M29111</t>
        </is>
      </c>
      <c r="H214" t="inlineStr">
        <is>
          <t>E1120</t>
        </is>
      </c>
      <c r="I214" t="inlineStr">
        <is>
          <t>E11202BA</t>
        </is>
      </c>
      <c r="J214" t="inlineStr">
        <is>
          <t>MOUNT,TRIPOD,MACHIN - M122A1</t>
        </is>
      </c>
      <c r="K214" t="inlineStr">
        <is>
          <t>IS</t>
        </is>
      </c>
      <c r="L214" t="inlineStr">
        <is>
          <t>EA</t>
        </is>
      </c>
      <c r="M214" t="inlineStr"/>
      <c r="N214" t="n">
        <v>0</v>
      </c>
      <c r="O214" t="n">
        <v>1</v>
      </c>
      <c r="P214" t="n">
        <v>1</v>
      </c>
    </row>
    <row r="215">
      <c r="B215" t="n">
        <v>211</v>
      </c>
      <c r="C215" t="inlineStr">
        <is>
          <t>14326</t>
        </is>
      </c>
      <c r="D215" t="inlineStr">
        <is>
          <t>14326</t>
        </is>
      </c>
      <c r="G215" t="inlineStr">
        <is>
          <t>M29111</t>
        </is>
      </c>
      <c r="H215" t="inlineStr">
        <is>
          <t>E1255</t>
        </is>
      </c>
      <c r="I215" t="inlineStr">
        <is>
          <t>E12552EA</t>
        </is>
      </c>
      <c r="J215" t="inlineStr">
        <is>
          <t>PURGING KIT,FIRE CO</t>
        </is>
      </c>
      <c r="K215" t="inlineStr">
        <is>
          <t>IS</t>
        </is>
      </c>
      <c r="L215" t="inlineStr">
        <is>
          <t>SE</t>
        </is>
      </c>
      <c r="M215" t="inlineStr"/>
      <c r="N215" t="n">
        <v>0</v>
      </c>
      <c r="O215" t="n">
        <v>1</v>
      </c>
      <c r="P215" t="n">
        <v>1</v>
      </c>
    </row>
    <row r="216">
      <c r="B216" t="n">
        <v>212</v>
      </c>
      <c r="C216" t="inlineStr">
        <is>
          <t>14326</t>
        </is>
      </c>
      <c r="D216" t="inlineStr">
        <is>
          <t>14326</t>
        </is>
      </c>
      <c r="G216" t="inlineStr">
        <is>
          <t>M29111</t>
        </is>
      </c>
      <c r="H216" t="inlineStr">
        <is>
          <t>E1983</t>
        </is>
      </c>
      <c r="I216" t="inlineStr">
        <is>
          <t>E19832EA</t>
        </is>
      </c>
      <c r="J216" t="inlineStr">
        <is>
          <t>TOOL AND GAGE SET,I</t>
        </is>
      </c>
      <c r="K216" t="inlineStr">
        <is>
          <t>IS</t>
        </is>
      </c>
      <c r="L216" t="inlineStr">
        <is>
          <t>EA</t>
        </is>
      </c>
      <c r="M216" t="inlineStr"/>
      <c r="N216" t="n">
        <v>0</v>
      </c>
      <c r="O216" t="n">
        <v>1</v>
      </c>
      <c r="P216" t="n">
        <v>1</v>
      </c>
    </row>
    <row r="217">
      <c r="B217" t="n">
        <v>213</v>
      </c>
      <c r="C217" t="inlineStr">
        <is>
          <t>14326</t>
        </is>
      </c>
      <c r="D217" t="inlineStr">
        <is>
          <t>14326</t>
        </is>
      </c>
      <c r="G217" t="inlineStr">
        <is>
          <t>M29111</t>
        </is>
      </c>
      <c r="H217" t="inlineStr">
        <is>
          <t>E2070</t>
        </is>
      </c>
      <c r="I217" t="inlineStr">
        <is>
          <t>E20702EA</t>
        </is>
      </c>
      <c r="J217" t="inlineStr">
        <is>
          <t>TOOL KIT,BORESIGHT, - MK145 MOD0</t>
        </is>
      </c>
      <c r="K217" t="inlineStr">
        <is>
          <t>DP</t>
        </is>
      </c>
      <c r="L217" t="inlineStr">
        <is>
          <t>EA</t>
        </is>
      </c>
      <c r="M217" t="inlineStr"/>
      <c r="N217" t="n">
        <v>0</v>
      </c>
      <c r="O217" t="n">
        <v>1</v>
      </c>
      <c r="P217" t="n">
        <v>1</v>
      </c>
    </row>
    <row r="218">
      <c r="B218" t="n">
        <v>214</v>
      </c>
      <c r="C218" t="inlineStr">
        <is>
          <t>14326</t>
        </is>
      </c>
      <c r="D218" t="inlineStr">
        <is>
          <t>14326</t>
        </is>
      </c>
      <c r="G218" t="inlineStr">
        <is>
          <t>M29111</t>
        </is>
      </c>
      <c r="H218" t="inlineStr">
        <is>
          <t>E2231</t>
        </is>
      </c>
      <c r="I218" t="inlineStr">
        <is>
          <t>E22312EA</t>
        </is>
      </c>
      <c r="J218" t="inlineStr">
        <is>
          <t>TOOL AND EQUIPMENT - 04001A0003</t>
        </is>
      </c>
      <c r="K218" t="inlineStr">
        <is>
          <t>IS</t>
        </is>
      </c>
      <c r="L218" t="inlineStr">
        <is>
          <t>EA</t>
        </is>
      </c>
      <c r="M218" t="inlineStr"/>
      <c r="N218" t="n">
        <v>0</v>
      </c>
      <c r="O218" t="n">
        <v>1</v>
      </c>
      <c r="P218" t="n">
        <v>1</v>
      </c>
    </row>
    <row r="219">
      <c r="B219" t="n">
        <v>215</v>
      </c>
      <c r="C219" t="inlineStr">
        <is>
          <t>14345</t>
        </is>
      </c>
      <c r="D219" t="inlineStr">
        <is>
          <t>14345</t>
        </is>
      </c>
      <c r="G219" t="inlineStr">
        <is>
          <t>M29111</t>
        </is>
      </c>
      <c r="H219" t="inlineStr">
        <is>
          <t>E2235</t>
        </is>
      </c>
      <c r="I219" t="inlineStr">
        <is>
          <t>E22352BA</t>
        </is>
      </c>
      <c r="J219" t="inlineStr">
        <is>
          <t>TOOL AND EQUIPMENT - 04001A008</t>
        </is>
      </c>
      <c r="K219" t="inlineStr">
        <is>
          <t>IS</t>
        </is>
      </c>
      <c r="L219" t="inlineStr">
        <is>
          <t>EA</t>
        </is>
      </c>
      <c r="M219" t="inlineStr"/>
      <c r="N219" t="n">
        <v>0</v>
      </c>
      <c r="O219" t="n">
        <v>1</v>
      </c>
      <c r="P219" t="n">
        <v>1</v>
      </c>
    </row>
    <row r="220">
      <c r="B220" t="n">
        <v>216</v>
      </c>
      <c r="C220" t="inlineStr">
        <is>
          <t>14326</t>
        </is>
      </c>
      <c r="D220" t="inlineStr">
        <is>
          <t>14326</t>
        </is>
      </c>
      <c r="G220" t="inlineStr">
        <is>
          <t>M29111</t>
        </is>
      </c>
      <c r="H220" t="inlineStr">
        <is>
          <t>E2525</t>
        </is>
      </c>
      <c r="I220" t="inlineStr">
        <is>
          <t>E25252EA</t>
        </is>
      </c>
      <c r="J220" t="inlineStr">
        <is>
          <t>MAINTENANCE KIT,GUN - M16</t>
        </is>
      </c>
      <c r="K220" t="inlineStr">
        <is>
          <t>IS</t>
        </is>
      </c>
      <c r="L220" t="inlineStr"/>
      <c r="M220" t="inlineStr"/>
      <c r="N220" t="n">
        <v>0</v>
      </c>
      <c r="O220" t="n">
        <v>1</v>
      </c>
      <c r="P220" t="n">
        <v>1</v>
      </c>
    </row>
    <row r="221">
      <c r="B221" t="n">
        <v>217</v>
      </c>
      <c r="C221" t="inlineStr">
        <is>
          <t>14345</t>
        </is>
      </c>
      <c r="D221" t="inlineStr">
        <is>
          <t>14345</t>
        </is>
      </c>
      <c r="G221" t="inlineStr">
        <is>
          <t>M29111</t>
        </is>
      </c>
      <c r="H221" t="inlineStr">
        <is>
          <t>E3093</t>
        </is>
      </c>
      <c r="I221" t="inlineStr">
        <is>
          <t>E30932BA</t>
        </is>
      </c>
      <c r="J221" t="inlineStr">
        <is>
          <t>TOOL SET,INTERMEDIA - MK19 MOD3</t>
        </is>
      </c>
      <c r="K221" t="inlineStr">
        <is>
          <t>IS</t>
        </is>
      </c>
      <c r="L221" t="inlineStr">
        <is>
          <t>SE</t>
        </is>
      </c>
      <c r="M221" t="inlineStr"/>
      <c r="N221" t="n">
        <v>0</v>
      </c>
      <c r="O221" t="n">
        <v>1</v>
      </c>
      <c r="P221" t="n">
        <v>1</v>
      </c>
    </row>
    <row r="222">
      <c r="B222" t="n">
        <v>218</v>
      </c>
      <c r="C222" t="inlineStr">
        <is>
          <t>14345</t>
        </is>
      </c>
      <c r="D222" t="inlineStr">
        <is>
          <t>14345</t>
        </is>
      </c>
      <c r="G222" t="inlineStr">
        <is>
          <t>M29111</t>
        </is>
      </c>
      <c r="H222" t="inlineStr">
        <is>
          <t>E7900</t>
        </is>
      </c>
      <c r="I222" t="inlineStr">
        <is>
          <t>E79007BB</t>
        </is>
      </c>
      <c r="J222" t="inlineStr">
        <is>
          <t>TOOL KIT,SMALL ARMS - TK-2111A</t>
        </is>
      </c>
      <c r="K222" t="inlineStr">
        <is>
          <t>IS</t>
        </is>
      </c>
      <c r="L222" t="inlineStr">
        <is>
          <t>KT</t>
        </is>
      </c>
      <c r="M222" t="inlineStr"/>
      <c r="N222" t="n">
        <v>0</v>
      </c>
      <c r="O222" t="n">
        <v>1</v>
      </c>
      <c r="P222" t="n">
        <v>1</v>
      </c>
    </row>
    <row r="223">
      <c r="B223" t="n">
        <v>219</v>
      </c>
      <c r="C223" t="inlineStr">
        <is>
          <t>21451</t>
        </is>
      </c>
      <c r="D223" t="inlineStr">
        <is>
          <t>21451</t>
        </is>
      </c>
      <c r="G223" t="inlineStr">
        <is>
          <t>M29111</t>
        </is>
      </c>
      <c r="H223" t="inlineStr">
        <is>
          <t>H2301</t>
        </is>
      </c>
      <c r="I223" t="inlineStr">
        <is>
          <t>H23012BA</t>
        </is>
      </c>
      <c r="J223" t="inlineStr">
        <is>
          <t>INTERCOMMUNICATION - AN/VIC2(V)</t>
        </is>
      </c>
      <c r="K223" t="inlineStr">
        <is>
          <t>IS</t>
        </is>
      </c>
      <c r="L223" t="inlineStr">
        <is>
          <t>SE</t>
        </is>
      </c>
      <c r="M223" t="inlineStr"/>
      <c r="N223" t="n">
        <v>0</v>
      </c>
      <c r="O223" t="n">
        <v>0</v>
      </c>
      <c r="P223" t="n">
        <v>0</v>
      </c>
    </row>
    <row r="224">
      <c r="B224" t="n">
        <v>220</v>
      </c>
      <c r="C224" t="inlineStr">
        <is>
          <t>44112</t>
        </is>
      </c>
      <c r="D224" t="inlineStr">
        <is>
          <t>44112</t>
        </is>
      </c>
      <c r="G224" t="inlineStr">
        <is>
          <t>M29111</t>
        </is>
      </c>
      <c r="H224" t="inlineStr">
        <is>
          <t>H7008</t>
        </is>
      </c>
      <c r="I224" t="inlineStr">
        <is>
          <t>H70087GA</t>
        </is>
      </c>
      <c r="J224" t="inlineStr">
        <is>
          <t>SENSOR,AMBIENT TEMP - IR THERMOMETER</t>
        </is>
      </c>
      <c r="K224" t="inlineStr">
        <is>
          <t>IS</t>
        </is>
      </c>
      <c r="L224" t="inlineStr">
        <is>
          <t>EA</t>
        </is>
      </c>
      <c r="M224" t="inlineStr"/>
      <c r="N224" t="n">
        <v>0</v>
      </c>
      <c r="O224" t="n">
        <v>1</v>
      </c>
      <c r="P224" t="n">
        <v>1</v>
      </c>
    </row>
    <row r="225">
      <c r="B225" t="n">
        <v>221</v>
      </c>
      <c r="C225" t="inlineStr">
        <is>
          <t>44112</t>
        </is>
      </c>
      <c r="D225" t="inlineStr">
        <is>
          <t>44112</t>
        </is>
      </c>
      <c r="G225" t="inlineStr">
        <is>
          <t>M29111</t>
        </is>
      </c>
      <c r="H225" t="inlineStr">
        <is>
          <t>H7017</t>
        </is>
      </c>
      <c r="I225" t="inlineStr">
        <is>
          <t>H70172EA</t>
        </is>
      </c>
      <c r="J225" t="inlineStr">
        <is>
          <t>MULTIMETER - FLUKE 189M/AN</t>
        </is>
      </c>
      <c r="K225" t="inlineStr">
        <is>
          <t>IS</t>
        </is>
      </c>
      <c r="L225" t="inlineStr">
        <is>
          <t>EA</t>
        </is>
      </c>
      <c r="M225" t="inlineStr"/>
      <c r="N225" t="n">
        <v>0</v>
      </c>
      <c r="O225" t="n">
        <v>2</v>
      </c>
      <c r="P225" t="n">
        <v>2</v>
      </c>
    </row>
    <row r="226">
      <c r="B226" t="n">
        <v>222</v>
      </c>
      <c r="C226" t="inlineStr">
        <is>
          <t>21451</t>
        </is>
      </c>
      <c r="D226" t="inlineStr">
        <is>
          <t>21451</t>
        </is>
      </c>
      <c r="G226" t="inlineStr">
        <is>
          <t>M29111</t>
        </is>
      </c>
      <c r="H226" t="inlineStr">
        <is>
          <t>H7255</t>
        </is>
      </c>
      <c r="I226" t="inlineStr">
        <is>
          <t>H72552BA</t>
        </is>
      </c>
      <c r="J226" t="inlineStr">
        <is>
          <t>GROUNDING KIT - MK2551A</t>
        </is>
      </c>
      <c r="K226" t="inlineStr">
        <is>
          <t>IS</t>
        </is>
      </c>
      <c r="L226" t="inlineStr">
        <is>
          <t>KT</t>
        </is>
      </c>
      <c r="M226" t="inlineStr"/>
      <c r="N226" t="n">
        <v>0</v>
      </c>
      <c r="O226" t="n">
        <v>1</v>
      </c>
      <c r="P226" t="n">
        <v>1</v>
      </c>
    </row>
    <row r="227">
      <c r="B227" t="n">
        <v>223</v>
      </c>
      <c r="C227" t="inlineStr">
        <is>
          <t>44112</t>
        </is>
      </c>
      <c r="D227" t="inlineStr">
        <is>
          <t>44112</t>
        </is>
      </c>
      <c r="G227" t="inlineStr">
        <is>
          <t>M29111</t>
        </is>
      </c>
      <c r="H227" t="inlineStr">
        <is>
          <t>K0002</t>
        </is>
      </c>
      <c r="I227" t="inlineStr">
        <is>
          <t>K00022BA</t>
        </is>
      </c>
      <c r="J227" t="inlineStr">
        <is>
          <t>ANALYZER-CHARGER,BA - 490PT+</t>
        </is>
      </c>
      <c r="K227" t="inlineStr">
        <is>
          <t>IS</t>
        </is>
      </c>
      <c r="L227" t="inlineStr">
        <is>
          <t>EA</t>
        </is>
      </c>
      <c r="M227" t="inlineStr"/>
      <c r="N227" t="n">
        <v>0</v>
      </c>
      <c r="O227" t="n">
        <v>1</v>
      </c>
      <c r="P227" t="n">
        <v>1</v>
      </c>
    </row>
    <row r="228">
      <c r="B228" t="n">
        <v>224</v>
      </c>
      <c r="C228" t="inlineStr">
        <is>
          <t>21710</t>
        </is>
      </c>
      <c r="D228" t="inlineStr">
        <is>
          <t>21710</t>
        </is>
      </c>
      <c r="G228" t="inlineStr">
        <is>
          <t>M29112</t>
        </is>
      </c>
      <c r="H228" t="inlineStr">
        <is>
          <t>A0067</t>
        </is>
      </c>
      <c r="I228" t="inlineStr">
        <is>
          <t>A00677G</t>
        </is>
      </c>
      <c r="J228" t="inlineStr">
        <is>
          <t>RADIO SET - AN/MRC-148A</t>
        </is>
      </c>
      <c r="K228" t="inlineStr">
        <is>
          <t>IS</t>
        </is>
      </c>
      <c r="L228" t="inlineStr">
        <is>
          <t>EA</t>
        </is>
      </c>
      <c r="M228" t="inlineStr">
        <is>
          <t>M</t>
        </is>
      </c>
      <c r="N228" t="n">
        <v>0</v>
      </c>
      <c r="O228" t="n">
        <v>1</v>
      </c>
      <c r="P228" t="n">
        <v>1</v>
      </c>
    </row>
    <row r="229">
      <c r="B229" t="n">
        <v>225</v>
      </c>
      <c r="C229" t="inlineStr">
        <is>
          <t>21710</t>
        </is>
      </c>
      <c r="D229" t="inlineStr">
        <is>
          <t>21710</t>
        </is>
      </c>
      <c r="G229" t="inlineStr">
        <is>
          <t>M29112</t>
        </is>
      </c>
      <c r="H229" t="inlineStr">
        <is>
          <t>A0073</t>
        </is>
      </c>
      <c r="I229" t="inlineStr">
        <is>
          <t>A00732B</t>
        </is>
      </c>
      <c r="J229" t="inlineStr">
        <is>
          <t>CHARGER,BATTERY - BTC-70100</t>
        </is>
      </c>
      <c r="K229" t="inlineStr">
        <is>
          <t>IS</t>
        </is>
      </c>
      <c r="L229" t="inlineStr">
        <is>
          <t>EA</t>
        </is>
      </c>
      <c r="M229" t="inlineStr">
        <is>
          <t>N</t>
        </is>
      </c>
      <c r="N229" t="n">
        <v>0</v>
      </c>
      <c r="O229" t="n">
        <v>1</v>
      </c>
      <c r="P229" t="n">
        <v>1</v>
      </c>
    </row>
    <row r="230">
      <c r="B230" t="n">
        <v>226</v>
      </c>
      <c r="C230" t="inlineStr">
        <is>
          <t>21710</t>
        </is>
      </c>
      <c r="D230" t="inlineStr">
        <is>
          <t>21710</t>
        </is>
      </c>
      <c r="G230" t="inlineStr">
        <is>
          <t>M29112</t>
        </is>
      </c>
      <c r="H230" t="inlineStr">
        <is>
          <t>A0139</t>
        </is>
      </c>
      <c r="I230" t="inlineStr">
        <is>
          <t>A01397G</t>
        </is>
      </c>
      <c r="J230" t="inlineStr">
        <is>
          <t>RADIO SET - AN/TRC-209A(C)V1</t>
        </is>
      </c>
      <c r="K230" t="inlineStr">
        <is>
          <t>IS</t>
        </is>
      </c>
      <c r="L230" t="inlineStr">
        <is>
          <t>EA</t>
        </is>
      </c>
      <c r="M230" t="inlineStr">
        <is>
          <t>R</t>
        </is>
      </c>
      <c r="N230" t="n">
        <v>0</v>
      </c>
      <c r="O230" t="n">
        <v>1</v>
      </c>
      <c r="P230" t="n">
        <v>1</v>
      </c>
    </row>
    <row r="231">
      <c r="B231" t="n">
        <v>227</v>
      </c>
      <c r="C231" t="inlineStr">
        <is>
          <t>21710</t>
        </is>
      </c>
      <c r="D231" t="inlineStr">
        <is>
          <t>21710</t>
        </is>
      </c>
      <c r="G231" t="inlineStr">
        <is>
          <t>M29112</t>
        </is>
      </c>
      <c r="H231" t="inlineStr">
        <is>
          <t>A0173</t>
        </is>
      </c>
      <c r="I231" t="inlineStr">
        <is>
          <t>A01737G</t>
        </is>
      </c>
      <c r="J231" t="inlineStr">
        <is>
          <t>SECURITY DATA SYSTE - AN/GSQ-274A</t>
        </is>
      </c>
      <c r="K231" t="inlineStr">
        <is>
          <t>IS</t>
        </is>
      </c>
      <c r="L231" t="inlineStr">
        <is>
          <t>EA</t>
        </is>
      </c>
      <c r="M231" t="inlineStr">
        <is>
          <t>M</t>
        </is>
      </c>
      <c r="N231" t="n">
        <v>0</v>
      </c>
      <c r="O231" t="n">
        <v>1</v>
      </c>
      <c r="P231" t="n">
        <v>1</v>
      </c>
    </row>
    <row r="232">
      <c r="B232" t="n">
        <v>228</v>
      </c>
      <c r="C232" t="inlineStr">
        <is>
          <t>21710</t>
        </is>
      </c>
      <c r="D232" t="inlineStr">
        <is>
          <t>21710</t>
        </is>
      </c>
      <c r="G232" t="inlineStr">
        <is>
          <t>M29112</t>
        </is>
      </c>
      <c r="H232" t="inlineStr">
        <is>
          <t>A0174</t>
        </is>
      </c>
      <c r="I232" t="inlineStr">
        <is>
          <t>A01747G</t>
        </is>
      </c>
      <c r="J232" t="inlineStr">
        <is>
          <t>SWITCHING SET,COMMU - AN/TYQ-148B</t>
        </is>
      </c>
      <c r="K232" t="inlineStr">
        <is>
          <t>IS</t>
        </is>
      </c>
      <c r="L232" t="inlineStr">
        <is>
          <t>EA</t>
        </is>
      </c>
      <c r="M232" t="inlineStr">
        <is>
          <t>M</t>
        </is>
      </c>
      <c r="N232" t="n">
        <v>0</v>
      </c>
      <c r="O232" t="n">
        <v>1</v>
      </c>
      <c r="P232" t="n">
        <v>1</v>
      </c>
    </row>
    <row r="233">
      <c r="B233" t="n">
        <v>229</v>
      </c>
      <c r="C233" t="inlineStr">
        <is>
          <t>21710</t>
        </is>
      </c>
      <c r="D233" t="inlineStr">
        <is>
          <t>21710</t>
        </is>
      </c>
      <c r="G233" t="inlineStr">
        <is>
          <t>M29112</t>
        </is>
      </c>
      <c r="H233" t="inlineStr">
        <is>
          <t>A0175</t>
        </is>
      </c>
      <c r="I233" t="inlineStr">
        <is>
          <t>A01757G</t>
        </is>
      </c>
      <c r="J233" t="inlineStr">
        <is>
          <t>COMPUTER,DIGITAL DA - 15021A0000-0</t>
        </is>
      </c>
      <c r="K233" t="inlineStr">
        <is>
          <t>IS</t>
        </is>
      </c>
      <c r="L233" t="inlineStr">
        <is>
          <t>EA</t>
        </is>
      </c>
      <c r="M233" t="inlineStr">
        <is>
          <t>R</t>
        </is>
      </c>
      <c r="N233" t="n">
        <v>0</v>
      </c>
      <c r="O233" t="n">
        <v>1</v>
      </c>
      <c r="P233" t="n">
        <v>1</v>
      </c>
    </row>
    <row r="234">
      <c r="B234" t="n">
        <v>230</v>
      </c>
      <c r="C234" t="inlineStr">
        <is>
          <t>21710</t>
        </is>
      </c>
      <c r="D234" t="inlineStr">
        <is>
          <t>21710</t>
        </is>
      </c>
      <c r="G234" t="inlineStr">
        <is>
          <t>M29112</t>
        </is>
      </c>
      <c r="H234" t="inlineStr">
        <is>
          <t>A0177</t>
        </is>
      </c>
      <c r="I234" t="inlineStr">
        <is>
          <t>A01777G</t>
        </is>
      </c>
      <c r="J234" t="inlineStr">
        <is>
          <t>COMPUTER SYSTEM,DIG - 15017A0000-00</t>
        </is>
      </c>
      <c r="K234" t="inlineStr">
        <is>
          <t>IS</t>
        </is>
      </c>
      <c r="L234" t="inlineStr">
        <is>
          <t>EA</t>
        </is>
      </c>
      <c r="M234" t="inlineStr">
        <is>
          <t>M</t>
        </is>
      </c>
      <c r="N234" t="n">
        <v>0</v>
      </c>
      <c r="O234" t="n">
        <v>1</v>
      </c>
      <c r="P234" t="n">
        <v>1</v>
      </c>
    </row>
    <row r="235">
      <c r="B235" t="n">
        <v>231</v>
      </c>
      <c r="C235" t="inlineStr">
        <is>
          <t>21710</t>
        </is>
      </c>
      <c r="D235" t="inlineStr">
        <is>
          <t>21710</t>
        </is>
      </c>
      <c r="G235" t="inlineStr">
        <is>
          <t>M29112</t>
        </is>
      </c>
      <c r="H235" t="inlineStr">
        <is>
          <t>A0198</t>
        </is>
      </c>
      <c r="I235" t="inlineStr">
        <is>
          <t>A01987G</t>
        </is>
      </c>
      <c r="J235" t="inlineStr">
        <is>
          <t>RADIO SET - 12200-1823-01</t>
        </is>
      </c>
      <c r="K235" t="inlineStr">
        <is>
          <t>IS</t>
        </is>
      </c>
      <c r="L235" t="inlineStr">
        <is>
          <t>EA</t>
        </is>
      </c>
      <c r="M235" t="inlineStr">
        <is>
          <t>N</t>
        </is>
      </c>
      <c r="N235" t="n">
        <v>0</v>
      </c>
      <c r="O235" t="n">
        <v>2</v>
      </c>
      <c r="P235" t="n">
        <v>2</v>
      </c>
    </row>
    <row r="236">
      <c r="B236" t="n">
        <v>232</v>
      </c>
      <c r="C236" t="inlineStr">
        <is>
          <t>21710</t>
        </is>
      </c>
      <c r="D236" t="inlineStr">
        <is>
          <t>21710</t>
        </is>
      </c>
      <c r="G236" t="inlineStr">
        <is>
          <t>M29112</t>
        </is>
      </c>
      <c r="H236" t="inlineStr">
        <is>
          <t>A1260</t>
        </is>
      </c>
      <c r="I236" t="inlineStr">
        <is>
          <t>A12607G</t>
        </is>
      </c>
      <c r="J236" t="inlineStr">
        <is>
          <t>NAVIGATION SET,SATE - AN/PSN-13(A)</t>
        </is>
      </c>
      <c r="K236" t="inlineStr">
        <is>
          <t>IS</t>
        </is>
      </c>
      <c r="L236" t="inlineStr">
        <is>
          <t>EA</t>
        </is>
      </c>
      <c r="M236" t="inlineStr">
        <is>
          <t>N</t>
        </is>
      </c>
      <c r="N236" t="n">
        <v>0</v>
      </c>
      <c r="O236" t="n">
        <v>8</v>
      </c>
      <c r="P236" t="n">
        <v>8</v>
      </c>
    </row>
    <row r="237">
      <c r="B237" t="n">
        <v>233</v>
      </c>
      <c r="C237" t="inlineStr">
        <is>
          <t>21710</t>
        </is>
      </c>
      <c r="D237" t="inlineStr">
        <is>
          <t>21710</t>
        </is>
      </c>
      <c r="G237" t="inlineStr">
        <is>
          <t>M29112</t>
        </is>
      </c>
      <c r="H237" t="inlineStr">
        <is>
          <t>A2068</t>
        </is>
      </c>
      <c r="I237" t="inlineStr">
        <is>
          <t>A20687G</t>
        </is>
      </c>
      <c r="J237" t="inlineStr">
        <is>
          <t>RADIO SET - AN/PRC-117F(V)1C</t>
        </is>
      </c>
      <c r="K237" t="inlineStr">
        <is>
          <t>DP</t>
        </is>
      </c>
      <c r="L237" t="inlineStr">
        <is>
          <t>EA</t>
        </is>
      </c>
      <c r="M237" t="inlineStr">
        <is>
          <t>N</t>
        </is>
      </c>
      <c r="N237" t="n">
        <v>0</v>
      </c>
      <c r="O237" t="n">
        <v>3</v>
      </c>
      <c r="P237" t="n">
        <v>3</v>
      </c>
    </row>
    <row r="238">
      <c r="B238" t="n">
        <v>234</v>
      </c>
      <c r="C238" t="inlineStr">
        <is>
          <t>14326</t>
        </is>
      </c>
      <c r="D238" t="inlineStr">
        <is>
          <t>14326</t>
        </is>
      </c>
      <c r="G238" t="inlineStr">
        <is>
          <t>M29112</t>
        </is>
      </c>
      <c r="H238" t="inlineStr">
        <is>
          <t>A7080</t>
        </is>
      </c>
      <c r="I238" t="inlineStr">
        <is>
          <t>A70807G</t>
        </is>
      </c>
      <c r="J238" t="inlineStr">
        <is>
          <t>TEST SET,RADIO - 3515N</t>
        </is>
      </c>
      <c r="K238" t="inlineStr">
        <is>
          <t>IS</t>
        </is>
      </c>
      <c r="L238" t="inlineStr">
        <is>
          <t>EA</t>
        </is>
      </c>
      <c r="M238" t="inlineStr">
        <is>
          <t>N</t>
        </is>
      </c>
      <c r="N238" t="n">
        <v>0</v>
      </c>
      <c r="O238" t="n">
        <v>1</v>
      </c>
      <c r="P238" t="n">
        <v>1</v>
      </c>
    </row>
    <row r="239">
      <c r="B239" t="n">
        <v>235</v>
      </c>
      <c r="C239" t="inlineStr">
        <is>
          <t>14326</t>
        </is>
      </c>
      <c r="D239" t="inlineStr">
        <is>
          <t>14326</t>
        </is>
      </c>
      <c r="G239" t="inlineStr">
        <is>
          <t>M29112</t>
        </is>
      </c>
      <c r="H239" t="inlineStr">
        <is>
          <t>A7504</t>
        </is>
      </c>
      <c r="I239" t="inlineStr">
        <is>
          <t>A75047G</t>
        </is>
      </c>
      <c r="J239" t="inlineStr">
        <is>
          <t>MAINTENANCE KIT,ELE - GETAC B360-GEN2</t>
        </is>
      </c>
      <c r="K239" t="inlineStr">
        <is>
          <t>IS</t>
        </is>
      </c>
      <c r="L239" t="inlineStr">
        <is>
          <t>EA</t>
        </is>
      </c>
      <c r="M239" t="inlineStr">
        <is>
          <t>N</t>
        </is>
      </c>
      <c r="N239" t="n">
        <v>0</v>
      </c>
      <c r="O239" t="n">
        <v>3</v>
      </c>
      <c r="P239" t="n">
        <v>3</v>
      </c>
    </row>
    <row r="240">
      <c r="B240" t="n">
        <v>236</v>
      </c>
      <c r="C240" t="inlineStr">
        <is>
          <t>14326</t>
        </is>
      </c>
      <c r="D240" t="inlineStr">
        <is>
          <t>14326</t>
        </is>
      </c>
      <c r="G240" t="inlineStr">
        <is>
          <t>M29112</t>
        </is>
      </c>
      <c r="H240" t="inlineStr">
        <is>
          <t>A7505</t>
        </is>
      </c>
      <c r="I240" t="inlineStr">
        <is>
          <t>A75057H</t>
        </is>
      </c>
      <c r="J240" t="inlineStr">
        <is>
          <t>TEST SET,RADIO</t>
        </is>
      </c>
      <c r="K240" t="inlineStr">
        <is>
          <t>IS</t>
        </is>
      </c>
      <c r="L240" t="inlineStr">
        <is>
          <t>KT</t>
        </is>
      </c>
      <c r="M240" t="inlineStr">
        <is>
          <t>N</t>
        </is>
      </c>
      <c r="N240" t="n">
        <v>0</v>
      </c>
      <c r="O240" t="n">
        <v>1</v>
      </c>
      <c r="P240" t="n">
        <v>1</v>
      </c>
    </row>
    <row r="241">
      <c r="B241" t="n">
        <v>237</v>
      </c>
      <c r="C241" t="inlineStr">
        <is>
          <t>14326</t>
        </is>
      </c>
      <c r="D241" t="inlineStr">
        <is>
          <t>14326</t>
        </is>
      </c>
      <c r="G241" t="inlineStr">
        <is>
          <t>M29112</t>
        </is>
      </c>
      <c r="H241" t="inlineStr">
        <is>
          <t>A7533</t>
        </is>
      </c>
      <c r="I241" t="inlineStr">
        <is>
          <t>A75337G</t>
        </is>
      </c>
      <c r="J241" t="inlineStr">
        <is>
          <t>PROGRAM SET,APPLICA - AN/TSM-221A</t>
        </is>
      </c>
      <c r="K241" t="inlineStr">
        <is>
          <t>IS</t>
        </is>
      </c>
      <c r="L241" t="inlineStr">
        <is>
          <t>EA</t>
        </is>
      </c>
      <c r="M241" t="inlineStr">
        <is>
          <t>N</t>
        </is>
      </c>
      <c r="N241" t="n">
        <v>0</v>
      </c>
      <c r="O241" t="n">
        <v>2</v>
      </c>
      <c r="P241" t="n">
        <v>2</v>
      </c>
    </row>
    <row r="242">
      <c r="B242" t="n">
        <v>238</v>
      </c>
      <c r="C242" t="inlineStr">
        <is>
          <t>61072</t>
        </is>
      </c>
      <c r="D242" t="inlineStr">
        <is>
          <t>61072</t>
        </is>
      </c>
      <c r="G242" t="inlineStr">
        <is>
          <t>M29112</t>
        </is>
      </c>
      <c r="H242" t="inlineStr">
        <is>
          <t>A9060</t>
        </is>
      </c>
      <c r="I242" t="inlineStr">
        <is>
          <t>A90607G</t>
        </is>
      </c>
      <c r="J242" t="inlineStr">
        <is>
          <t>COMPUTER SYSTEM,DIG -  210-BCFT</t>
        </is>
      </c>
      <c r="K242" t="inlineStr">
        <is>
          <t>IS</t>
        </is>
      </c>
      <c r="L242" t="inlineStr">
        <is>
          <t>EA</t>
        </is>
      </c>
      <c r="M242" t="inlineStr">
        <is>
          <t>N</t>
        </is>
      </c>
      <c r="N242" t="n">
        <v>0</v>
      </c>
      <c r="O242" t="n">
        <v>1</v>
      </c>
      <c r="P242" t="n">
        <v>1</v>
      </c>
    </row>
    <row r="243">
      <c r="B243" t="n">
        <v>239</v>
      </c>
      <c r="C243" t="inlineStr">
        <is>
          <t>61072</t>
        </is>
      </c>
      <c r="D243" t="inlineStr">
        <is>
          <t>61072</t>
        </is>
      </c>
      <c r="G243" t="inlineStr">
        <is>
          <t>M29112</t>
        </is>
      </c>
      <c r="H243" t="inlineStr">
        <is>
          <t>A9100</t>
        </is>
      </c>
      <c r="I243" t="inlineStr">
        <is>
          <t>A91007G</t>
        </is>
      </c>
      <c r="J243" t="inlineStr">
        <is>
          <t>COMPUTER SYSTEM,DIG - HP ELITEBOOK 645</t>
        </is>
      </c>
      <c r="K243" t="inlineStr">
        <is>
          <t>IS</t>
        </is>
      </c>
      <c r="L243" t="inlineStr">
        <is>
          <t>EA</t>
        </is>
      </c>
      <c r="M243" t="inlineStr">
        <is>
          <t>N</t>
        </is>
      </c>
      <c r="N243" t="n">
        <v>0</v>
      </c>
      <c r="O243" t="n">
        <v>10</v>
      </c>
      <c r="P243" t="n">
        <v>10</v>
      </c>
    </row>
    <row r="244">
      <c r="B244" t="n">
        <v>240</v>
      </c>
      <c r="C244" t="inlineStr">
        <is>
          <t>21710</t>
        </is>
      </c>
      <c r="D244" t="inlineStr">
        <is>
          <t>21710</t>
        </is>
      </c>
      <c r="G244" t="inlineStr">
        <is>
          <t>M29112</t>
        </is>
      </c>
      <c r="H244" t="inlineStr">
        <is>
          <t>B0002</t>
        </is>
      </c>
      <c r="I244" t="inlineStr">
        <is>
          <t>B00022B</t>
        </is>
      </c>
      <c r="J244" t="inlineStr">
        <is>
          <t>WIRE DETECTION,COMM - 71631</t>
        </is>
      </c>
      <c r="K244" t="inlineStr">
        <is>
          <t>IS</t>
        </is>
      </c>
      <c r="L244" t="inlineStr">
        <is>
          <t>EA</t>
        </is>
      </c>
      <c r="M244" t="inlineStr">
        <is>
          <t>N</t>
        </is>
      </c>
      <c r="N244" t="n">
        <v>0</v>
      </c>
      <c r="O244" t="n">
        <v>3</v>
      </c>
      <c r="P244" t="n">
        <v>3</v>
      </c>
    </row>
    <row r="245">
      <c r="B245" t="n">
        <v>241</v>
      </c>
      <c r="C245" t="inlineStr">
        <is>
          <t>21710</t>
        </is>
      </c>
      <c r="D245" t="inlineStr">
        <is>
          <t>21710</t>
        </is>
      </c>
      <c r="G245" t="inlineStr">
        <is>
          <t>M29112</t>
        </is>
      </c>
      <c r="H245" t="inlineStr">
        <is>
          <t>B0007</t>
        </is>
      </c>
      <c r="I245" t="inlineStr">
        <is>
          <t>B00077B</t>
        </is>
      </c>
      <c r="J245" t="inlineStr">
        <is>
          <t>WATER PURIFICATION - 0500134</t>
        </is>
      </c>
      <c r="K245" t="inlineStr">
        <is>
          <t>IS</t>
        </is>
      </c>
      <c r="L245" t="inlineStr">
        <is>
          <t>EA</t>
        </is>
      </c>
      <c r="M245" t="inlineStr">
        <is>
          <t>N</t>
        </is>
      </c>
      <c r="N245" t="n">
        <v>0</v>
      </c>
      <c r="O245" t="n">
        <v>3</v>
      </c>
      <c r="P245" t="n">
        <v>3</v>
      </c>
    </row>
    <row r="246">
      <c r="B246" t="n">
        <v>242</v>
      </c>
      <c r="C246" t="inlineStr">
        <is>
          <t>21710</t>
        </is>
      </c>
      <c r="D246" t="inlineStr">
        <is>
          <t>21710</t>
        </is>
      </c>
      <c r="G246" t="inlineStr">
        <is>
          <t>M29112</t>
        </is>
      </c>
      <c r="H246" t="inlineStr">
        <is>
          <t>B0012</t>
        </is>
      </c>
      <c r="I246" t="inlineStr">
        <is>
          <t>B00122B</t>
        </is>
      </c>
      <c r="J246" t="inlineStr">
        <is>
          <t>SOLAR PANEL KIT</t>
        </is>
      </c>
      <c r="K246" t="inlineStr">
        <is>
          <t>IS</t>
        </is>
      </c>
      <c r="L246" t="inlineStr">
        <is>
          <t>KT</t>
        </is>
      </c>
      <c r="M246" t="inlineStr">
        <is>
          <t>N</t>
        </is>
      </c>
      <c r="N246" t="n">
        <v>0</v>
      </c>
      <c r="O246" t="n">
        <v>2</v>
      </c>
      <c r="P246" t="n">
        <v>2</v>
      </c>
    </row>
    <row r="247">
      <c r="B247" t="n">
        <v>243</v>
      </c>
      <c r="C247" t="inlineStr">
        <is>
          <t>21710</t>
        </is>
      </c>
      <c r="D247" t="inlineStr">
        <is>
          <t>21710</t>
        </is>
      </c>
      <c r="G247" t="inlineStr">
        <is>
          <t>M29112</t>
        </is>
      </c>
      <c r="H247" t="inlineStr">
        <is>
          <t>B0014</t>
        </is>
      </c>
      <c r="I247" t="inlineStr">
        <is>
          <t>B00147B</t>
        </is>
      </c>
      <c r="J247" t="inlineStr">
        <is>
          <t>AIR CONDITIONER - GL0383ZAADWYX11</t>
        </is>
      </c>
      <c r="K247" t="inlineStr">
        <is>
          <t>IS</t>
        </is>
      </c>
      <c r="L247" t="inlineStr">
        <is>
          <t>EA</t>
        </is>
      </c>
      <c r="M247" t="inlineStr">
        <is>
          <t>R</t>
        </is>
      </c>
      <c r="N247" t="n">
        <v>0</v>
      </c>
      <c r="O247" t="n">
        <v>3</v>
      </c>
      <c r="P247" t="n">
        <v>3</v>
      </c>
    </row>
    <row r="248">
      <c r="B248" t="n">
        <v>244</v>
      </c>
      <c r="C248" t="inlineStr">
        <is>
          <t>21710</t>
        </is>
      </c>
      <c r="D248" t="inlineStr">
        <is>
          <t>21710</t>
        </is>
      </c>
      <c r="G248" t="inlineStr">
        <is>
          <t>M29112</t>
        </is>
      </c>
      <c r="H248" t="inlineStr">
        <is>
          <t>B0028</t>
        </is>
      </c>
      <c r="I248" t="inlineStr">
        <is>
          <t>B00287B</t>
        </is>
      </c>
      <c r="J248" t="inlineStr">
        <is>
          <t>PANEL,POWER DISTRIB - 5KW OUTDOOR</t>
        </is>
      </c>
      <c r="K248" t="inlineStr">
        <is>
          <t>IS</t>
        </is>
      </c>
      <c r="L248" t="inlineStr">
        <is>
          <t>EA</t>
        </is>
      </c>
      <c r="M248" t="inlineStr">
        <is>
          <t>R</t>
        </is>
      </c>
      <c r="N248" t="n">
        <v>0</v>
      </c>
      <c r="O248" t="n">
        <v>1</v>
      </c>
      <c r="P248" t="n">
        <v>1</v>
      </c>
    </row>
    <row r="249">
      <c r="B249" t="n">
        <v>245</v>
      </c>
      <c r="C249" t="inlineStr">
        <is>
          <t>21710</t>
        </is>
      </c>
      <c r="D249" t="inlineStr">
        <is>
          <t>21710</t>
        </is>
      </c>
      <c r="G249" t="inlineStr">
        <is>
          <t>M29112</t>
        </is>
      </c>
      <c r="H249" t="inlineStr">
        <is>
          <t>B0029</t>
        </is>
      </c>
      <c r="I249" t="inlineStr">
        <is>
          <t>B00297B</t>
        </is>
      </c>
      <c r="J249" t="inlineStr">
        <is>
          <t>PANEL,POWER DISTRIB - 15KW</t>
        </is>
      </c>
      <c r="K249" t="inlineStr">
        <is>
          <t>IS</t>
        </is>
      </c>
      <c r="L249" t="inlineStr">
        <is>
          <t>EA</t>
        </is>
      </c>
      <c r="M249" t="inlineStr">
        <is>
          <t>R</t>
        </is>
      </c>
      <c r="N249" t="n">
        <v>0</v>
      </c>
      <c r="O249" t="n">
        <v>1</v>
      </c>
      <c r="P249" t="n">
        <v>1</v>
      </c>
    </row>
    <row r="250">
      <c r="B250" t="n">
        <v>246</v>
      </c>
      <c r="C250" t="inlineStr">
        <is>
          <t>21710</t>
        </is>
      </c>
      <c r="D250" t="inlineStr">
        <is>
          <t>21710</t>
        </is>
      </c>
      <c r="G250" t="inlineStr">
        <is>
          <t>M29112</t>
        </is>
      </c>
      <c r="H250" t="inlineStr">
        <is>
          <t>B0030</t>
        </is>
      </c>
      <c r="I250" t="inlineStr">
        <is>
          <t>B00307B</t>
        </is>
      </c>
      <c r="J250" t="inlineStr">
        <is>
          <t>PANEL,POWER DISTRIB - 30KW</t>
        </is>
      </c>
      <c r="K250" t="inlineStr">
        <is>
          <t>IS</t>
        </is>
      </c>
      <c r="L250" t="inlineStr">
        <is>
          <t>EA</t>
        </is>
      </c>
      <c r="M250" t="inlineStr">
        <is>
          <t>R</t>
        </is>
      </c>
      <c r="N250" t="n">
        <v>0</v>
      </c>
      <c r="O250" t="n">
        <v>2</v>
      </c>
      <c r="P250" t="n">
        <v>2</v>
      </c>
    </row>
    <row r="251">
      <c r="B251" t="n">
        <v>247</v>
      </c>
      <c r="C251" t="inlineStr">
        <is>
          <t>21710</t>
        </is>
      </c>
      <c r="D251" t="inlineStr">
        <is>
          <t>21710</t>
        </is>
      </c>
      <c r="G251" t="inlineStr">
        <is>
          <t>M29112</t>
        </is>
      </c>
      <c r="H251" t="inlineStr">
        <is>
          <t>B0036</t>
        </is>
      </c>
      <c r="I251" t="inlineStr">
        <is>
          <t>B00367B</t>
        </is>
      </c>
      <c r="J251" t="inlineStr">
        <is>
          <t>TANK AND PUMP UNIT, - B0116302</t>
        </is>
      </c>
      <c r="K251" t="inlineStr">
        <is>
          <t>IS</t>
        </is>
      </c>
      <c r="L251" t="inlineStr">
        <is>
          <t>EA</t>
        </is>
      </c>
      <c r="M251" t="inlineStr">
        <is>
          <t>N</t>
        </is>
      </c>
      <c r="N251" t="n">
        <v>0</v>
      </c>
      <c r="O251" t="n">
        <v>3</v>
      </c>
      <c r="P251" t="n">
        <v>3</v>
      </c>
    </row>
    <row r="252">
      <c r="B252" t="n">
        <v>248</v>
      </c>
      <c r="C252" t="inlineStr">
        <is>
          <t>21710</t>
        </is>
      </c>
      <c r="D252" t="inlineStr">
        <is>
          <t>21710</t>
        </is>
      </c>
      <c r="G252" t="inlineStr">
        <is>
          <t>M29112</t>
        </is>
      </c>
      <c r="H252" t="inlineStr">
        <is>
          <t>B0037</t>
        </is>
      </c>
      <c r="I252" t="inlineStr">
        <is>
          <t>B00377B</t>
        </is>
      </c>
      <c r="J252" t="inlineStr">
        <is>
          <t>TANK AND PUMP UNIT, - B0116301</t>
        </is>
      </c>
      <c r="K252" t="inlineStr">
        <is>
          <t>IS</t>
        </is>
      </c>
      <c r="L252" t="inlineStr">
        <is>
          <t>EA</t>
        </is>
      </c>
      <c r="M252" t="inlineStr">
        <is>
          <t>N</t>
        </is>
      </c>
      <c r="N252" t="n">
        <v>0</v>
      </c>
      <c r="O252" t="n">
        <v>3</v>
      </c>
      <c r="P252" t="n">
        <v>3</v>
      </c>
    </row>
    <row r="253">
      <c r="B253" t="n">
        <v>249</v>
      </c>
      <c r="C253" t="inlineStr">
        <is>
          <t>21710</t>
        </is>
      </c>
      <c r="D253" t="inlineStr">
        <is>
          <t>21710</t>
        </is>
      </c>
      <c r="G253" t="inlineStr">
        <is>
          <t>M29112</t>
        </is>
      </c>
      <c r="H253" t="inlineStr">
        <is>
          <t>B0040</t>
        </is>
      </c>
      <c r="I253" t="inlineStr">
        <is>
          <t>B00407B</t>
        </is>
      </c>
      <c r="J253" t="inlineStr">
        <is>
          <t>MULTI-TERRAIN LOADE - 3TS-8T MTL</t>
        </is>
      </c>
      <c r="K253" t="inlineStr">
        <is>
          <t>IS</t>
        </is>
      </c>
      <c r="L253" t="inlineStr">
        <is>
          <t>EA</t>
        </is>
      </c>
      <c r="M253" t="inlineStr">
        <is>
          <t>N</t>
        </is>
      </c>
      <c r="N253" t="n">
        <v>0</v>
      </c>
      <c r="O253" t="n">
        <v>1</v>
      </c>
      <c r="P253" t="n">
        <v>1</v>
      </c>
    </row>
    <row r="254">
      <c r="B254" t="n">
        <v>250</v>
      </c>
      <c r="C254" t="inlineStr">
        <is>
          <t>21710</t>
        </is>
      </c>
      <c r="D254" t="inlineStr">
        <is>
          <t>21710</t>
        </is>
      </c>
      <c r="G254" t="inlineStr">
        <is>
          <t>M29112</t>
        </is>
      </c>
      <c r="H254" t="inlineStr">
        <is>
          <t>B0054</t>
        </is>
      </c>
      <c r="I254" t="inlineStr">
        <is>
          <t>B00547B</t>
        </is>
      </c>
      <c r="J254" t="inlineStr">
        <is>
          <t>TEST SET,FUEL CONTR</t>
        </is>
      </c>
      <c r="K254" t="inlineStr">
        <is>
          <t>PL</t>
        </is>
      </c>
      <c r="L254" t="inlineStr">
        <is>
          <t>EA</t>
        </is>
      </c>
      <c r="M254" t="inlineStr">
        <is>
          <t>N</t>
        </is>
      </c>
      <c r="N254" t="n">
        <v>0</v>
      </c>
      <c r="O254" t="n">
        <v>1</v>
      </c>
      <c r="P254" t="n">
        <v>1</v>
      </c>
    </row>
    <row r="255">
      <c r="B255" t="n">
        <v>251</v>
      </c>
      <c r="C255" t="inlineStr">
        <is>
          <t>21710</t>
        </is>
      </c>
      <c r="D255" t="inlineStr">
        <is>
          <t>21710</t>
        </is>
      </c>
      <c r="G255" t="inlineStr">
        <is>
          <t>M29112</t>
        </is>
      </c>
      <c r="H255" t="inlineStr">
        <is>
          <t>B0060</t>
        </is>
      </c>
      <c r="I255" t="inlineStr">
        <is>
          <t>B00607B</t>
        </is>
      </c>
      <c r="J255" t="inlineStr">
        <is>
          <t>TRACTOR,MEDIUM CRAW - 850-JR</t>
        </is>
      </c>
      <c r="K255" t="inlineStr">
        <is>
          <t>IS</t>
        </is>
      </c>
      <c r="L255" t="inlineStr">
        <is>
          <t>EA</t>
        </is>
      </c>
      <c r="M255" t="inlineStr">
        <is>
          <t>M</t>
        </is>
      </c>
      <c r="N255" t="n">
        <v>0</v>
      </c>
      <c r="O255" t="n">
        <v>1</v>
      </c>
      <c r="P255" t="n">
        <v>1</v>
      </c>
    </row>
    <row r="256">
      <c r="B256" t="n">
        <v>252</v>
      </c>
      <c r="C256" t="inlineStr">
        <is>
          <t>21710</t>
        </is>
      </c>
      <c r="D256" t="inlineStr">
        <is>
          <t>21710</t>
        </is>
      </c>
      <c r="G256" t="inlineStr">
        <is>
          <t>M29112</t>
        </is>
      </c>
      <c r="H256" t="inlineStr">
        <is>
          <t>B0063</t>
        </is>
      </c>
      <c r="I256" t="inlineStr">
        <is>
          <t>B00637B</t>
        </is>
      </c>
      <c r="J256" t="inlineStr">
        <is>
          <t>LOADER,SCOOP TYPE - 624KR</t>
        </is>
      </c>
      <c r="K256" t="inlineStr">
        <is>
          <t>IS</t>
        </is>
      </c>
      <c r="L256" t="inlineStr">
        <is>
          <t>EA</t>
        </is>
      </c>
      <c r="M256" t="inlineStr">
        <is>
          <t>M</t>
        </is>
      </c>
      <c r="N256" t="n">
        <v>0</v>
      </c>
      <c r="O256" t="n">
        <v>1</v>
      </c>
      <c r="P256" t="n">
        <v>1</v>
      </c>
    </row>
    <row r="257">
      <c r="B257" t="n">
        <v>253</v>
      </c>
      <c r="C257" t="inlineStr">
        <is>
          <t>21710</t>
        </is>
      </c>
      <c r="D257" t="inlineStr">
        <is>
          <t>21710</t>
        </is>
      </c>
      <c r="G257" t="inlineStr">
        <is>
          <t>M29112</t>
        </is>
      </c>
      <c r="H257" t="inlineStr">
        <is>
          <t>B0068</t>
        </is>
      </c>
      <c r="I257" t="inlineStr">
        <is>
          <t>B00687B</t>
        </is>
      </c>
      <c r="J257" t="inlineStr">
        <is>
          <t>POWER SUPPLY</t>
        </is>
      </c>
      <c r="K257" t="inlineStr">
        <is>
          <t>IS</t>
        </is>
      </c>
      <c r="L257" t="inlineStr">
        <is>
          <t>EA</t>
        </is>
      </c>
      <c r="M257" t="inlineStr">
        <is>
          <t>N</t>
        </is>
      </c>
      <c r="N257" t="n">
        <v>0</v>
      </c>
      <c r="O257" t="n">
        <v>2</v>
      </c>
      <c r="P257" t="n">
        <v>2</v>
      </c>
    </row>
    <row r="258">
      <c r="B258" t="n">
        <v>254</v>
      </c>
      <c r="C258" t="inlineStr">
        <is>
          <t>21710</t>
        </is>
      </c>
      <c r="D258" t="inlineStr">
        <is>
          <t>21710</t>
        </is>
      </c>
      <c r="G258" t="inlineStr">
        <is>
          <t>M29112</t>
        </is>
      </c>
      <c r="H258" t="inlineStr">
        <is>
          <t>B0070</t>
        </is>
      </c>
      <c r="I258" t="inlineStr">
        <is>
          <t>B00707B</t>
        </is>
      </c>
      <c r="J258" t="inlineStr">
        <is>
          <t>GENERATOR SET,DIESE</t>
        </is>
      </c>
      <c r="K258" t="inlineStr">
        <is>
          <t>PL</t>
        </is>
      </c>
      <c r="L258" t="inlineStr">
        <is>
          <t>EA</t>
        </is>
      </c>
      <c r="M258" t="inlineStr">
        <is>
          <t>N</t>
        </is>
      </c>
      <c r="N258" t="n">
        <v>0</v>
      </c>
      <c r="O258" t="n">
        <v>2</v>
      </c>
      <c r="P258" t="n">
        <v>2</v>
      </c>
    </row>
    <row r="259">
      <c r="B259" t="n">
        <v>255</v>
      </c>
      <c r="C259" t="inlineStr">
        <is>
          <t>21710</t>
        </is>
      </c>
      <c r="D259" t="inlineStr">
        <is>
          <t>21710</t>
        </is>
      </c>
      <c r="G259" t="inlineStr">
        <is>
          <t>M29112</t>
        </is>
      </c>
      <c r="H259" t="inlineStr">
        <is>
          <t>B0071</t>
        </is>
      </c>
      <c r="I259" t="inlineStr">
        <is>
          <t>B00717B</t>
        </is>
      </c>
      <c r="J259" t="inlineStr">
        <is>
          <t>WATER PURIFICATION - LWPS-5001</t>
        </is>
      </c>
      <c r="K259" t="inlineStr">
        <is>
          <t>IS</t>
        </is>
      </c>
      <c r="L259" t="inlineStr">
        <is>
          <t>EA</t>
        </is>
      </c>
      <c r="M259" t="inlineStr">
        <is>
          <t>M</t>
        </is>
      </c>
      <c r="N259" t="n">
        <v>0</v>
      </c>
      <c r="O259" t="n">
        <v>2</v>
      </c>
      <c r="P259" t="n">
        <v>2</v>
      </c>
    </row>
    <row r="260">
      <c r="B260" t="n">
        <v>256</v>
      </c>
      <c r="C260" t="inlineStr">
        <is>
          <t>21710</t>
        </is>
      </c>
      <c r="D260" t="inlineStr">
        <is>
          <t>21710</t>
        </is>
      </c>
      <c r="G260" t="inlineStr">
        <is>
          <t>M29112</t>
        </is>
      </c>
      <c r="H260" t="inlineStr">
        <is>
          <t>B0077</t>
        </is>
      </c>
      <c r="I260" t="inlineStr">
        <is>
          <t>B00777B</t>
        </is>
      </c>
      <c r="J260" t="inlineStr">
        <is>
          <t>GENERATOR SET,DIESE - MEP-1030A</t>
        </is>
      </c>
      <c r="K260" t="inlineStr">
        <is>
          <t>IS</t>
        </is>
      </c>
      <c r="L260" t="inlineStr">
        <is>
          <t>EA</t>
        </is>
      </c>
      <c r="M260" t="inlineStr">
        <is>
          <t>R</t>
        </is>
      </c>
      <c r="N260" t="n">
        <v>0</v>
      </c>
      <c r="O260" t="n">
        <v>1</v>
      </c>
      <c r="P260" t="n">
        <v>1</v>
      </c>
    </row>
    <row r="261">
      <c r="B261" t="n">
        <v>257</v>
      </c>
      <c r="C261" t="inlineStr">
        <is>
          <t>21710</t>
        </is>
      </c>
      <c r="D261" t="inlineStr">
        <is>
          <t>21710</t>
        </is>
      </c>
      <c r="G261" t="inlineStr">
        <is>
          <t>M29112</t>
        </is>
      </c>
      <c r="H261" t="inlineStr">
        <is>
          <t>B0102</t>
        </is>
      </c>
      <c r="I261" t="inlineStr">
        <is>
          <t>B01022B</t>
        </is>
      </c>
      <c r="J261" t="inlineStr">
        <is>
          <t>DETECTING SET,MINE -  VMR2.5 (VMR2+)</t>
        </is>
      </c>
      <c r="K261" t="inlineStr">
        <is>
          <t>IS</t>
        </is>
      </c>
      <c r="L261" t="inlineStr">
        <is>
          <t>EA</t>
        </is>
      </c>
      <c r="M261" t="inlineStr">
        <is>
          <t>R</t>
        </is>
      </c>
      <c r="N261" t="n">
        <v>0</v>
      </c>
      <c r="O261" t="n">
        <v>1</v>
      </c>
      <c r="P261" t="n">
        <v>1</v>
      </c>
    </row>
    <row r="262">
      <c r="B262" t="n">
        <v>258</v>
      </c>
      <c r="C262" t="inlineStr">
        <is>
          <t>21710</t>
        </is>
      </c>
      <c r="D262" t="inlineStr">
        <is>
          <t>21710</t>
        </is>
      </c>
      <c r="G262" t="inlineStr">
        <is>
          <t>M29112</t>
        </is>
      </c>
      <c r="H262" t="inlineStr">
        <is>
          <t>B0132</t>
        </is>
      </c>
      <c r="I262" t="inlineStr">
        <is>
          <t>B01327B</t>
        </is>
      </c>
      <c r="J262" t="inlineStr">
        <is>
          <t>INSTRUMENT SET,RECO</t>
        </is>
      </c>
      <c r="K262" t="inlineStr">
        <is>
          <t>IS</t>
        </is>
      </c>
      <c r="L262" t="inlineStr">
        <is>
          <t>EA</t>
        </is>
      </c>
      <c r="M262" t="inlineStr">
        <is>
          <t>N</t>
        </is>
      </c>
      <c r="N262" t="n">
        <v>0</v>
      </c>
      <c r="O262" t="n">
        <v>1</v>
      </c>
      <c r="P262" t="n">
        <v>1</v>
      </c>
    </row>
    <row r="263">
      <c r="B263" t="n">
        <v>259</v>
      </c>
      <c r="C263" t="inlineStr">
        <is>
          <t>21730</t>
        </is>
      </c>
      <c r="D263" t="inlineStr">
        <is>
          <t>21730</t>
        </is>
      </c>
      <c r="G263" t="inlineStr">
        <is>
          <t>M29112</t>
        </is>
      </c>
      <c r="H263" t="inlineStr">
        <is>
          <t>B0471</t>
        </is>
      </c>
      <c r="I263" t="inlineStr">
        <is>
          <t>B04712E</t>
        </is>
      </c>
      <c r="J263" t="inlineStr">
        <is>
          <t>DEMOLITION EQUIPMEN - 3002</t>
        </is>
      </c>
      <c r="K263" t="inlineStr">
        <is>
          <t>IS</t>
        </is>
      </c>
      <c r="L263" t="inlineStr">
        <is>
          <t>EA</t>
        </is>
      </c>
      <c r="M263" t="inlineStr">
        <is>
          <t>N</t>
        </is>
      </c>
      <c r="N263" t="n">
        <v>0</v>
      </c>
      <c r="O263" t="n">
        <v>1</v>
      </c>
      <c r="P263" t="n">
        <v>1</v>
      </c>
    </row>
    <row r="264">
      <c r="B264" t="n">
        <v>260</v>
      </c>
      <c r="C264" t="inlineStr">
        <is>
          <t>21710</t>
        </is>
      </c>
      <c r="D264" t="inlineStr">
        <is>
          <t>21710</t>
        </is>
      </c>
      <c r="G264" t="inlineStr">
        <is>
          <t>M29112</t>
        </is>
      </c>
      <c r="H264" t="inlineStr">
        <is>
          <t>B0570</t>
        </is>
      </c>
      <c r="I264" t="inlineStr">
        <is>
          <t>B05707B</t>
        </is>
      </c>
      <c r="J264" t="inlineStr">
        <is>
          <t>DRUM,FABRIC,COLLAPS - GTA-500LF-SL3</t>
        </is>
      </c>
      <c r="K264" t="inlineStr">
        <is>
          <t>IS</t>
        </is>
      </c>
      <c r="L264" t="inlineStr">
        <is>
          <t>EA</t>
        </is>
      </c>
      <c r="M264" t="inlineStr">
        <is>
          <t>N</t>
        </is>
      </c>
      <c r="N264" t="n">
        <v>0</v>
      </c>
      <c r="O264" t="n">
        <v>6</v>
      </c>
      <c r="P264" t="n">
        <v>6</v>
      </c>
    </row>
    <row r="265">
      <c r="B265" t="n">
        <v>261</v>
      </c>
      <c r="C265" t="inlineStr">
        <is>
          <t>21710</t>
        </is>
      </c>
      <c r="D265" t="inlineStr">
        <is>
          <t>21710</t>
        </is>
      </c>
      <c r="G265" t="inlineStr">
        <is>
          <t>M29112</t>
        </is>
      </c>
      <c r="H265" t="inlineStr">
        <is>
          <t>B0573</t>
        </is>
      </c>
      <c r="I265" t="inlineStr">
        <is>
          <t>B05737B</t>
        </is>
      </c>
      <c r="J265" t="inlineStr">
        <is>
          <t>TANK,LIQUID STORAGE - GTA-3KF-SL-3</t>
        </is>
      </c>
      <c r="K265" t="inlineStr">
        <is>
          <t>IS</t>
        </is>
      </c>
      <c r="L265" t="inlineStr">
        <is>
          <t>EA</t>
        </is>
      </c>
      <c r="M265" t="inlineStr">
        <is>
          <t>N</t>
        </is>
      </c>
      <c r="N265" t="n">
        <v>0</v>
      </c>
      <c r="O265" t="n">
        <v>2</v>
      </c>
      <c r="P265" t="n">
        <v>2</v>
      </c>
    </row>
    <row r="266">
      <c r="B266" t="n">
        <v>262</v>
      </c>
      <c r="C266" t="inlineStr">
        <is>
          <t>21710</t>
        </is>
      </c>
      <c r="D266" t="inlineStr">
        <is>
          <t>21710</t>
        </is>
      </c>
      <c r="G266" t="inlineStr">
        <is>
          <t>M29112</t>
        </is>
      </c>
      <c r="H266" t="inlineStr">
        <is>
          <t>B0730</t>
        </is>
      </c>
      <c r="I266" t="inlineStr">
        <is>
          <t>B07307B</t>
        </is>
      </c>
      <c r="J266" t="inlineStr">
        <is>
          <t>GENERATOR SET,DIESE - MEP831A</t>
        </is>
      </c>
      <c r="K266" t="inlineStr">
        <is>
          <t>IS</t>
        </is>
      </c>
      <c r="L266" t="inlineStr">
        <is>
          <t>EA</t>
        </is>
      </c>
      <c r="M266" t="inlineStr">
        <is>
          <t>M</t>
        </is>
      </c>
      <c r="N266" t="n">
        <v>0</v>
      </c>
      <c r="O266" t="n">
        <v>1</v>
      </c>
      <c r="P266" t="n">
        <v>1</v>
      </c>
    </row>
    <row r="267">
      <c r="B267" t="n">
        <v>263</v>
      </c>
      <c r="C267" t="inlineStr">
        <is>
          <t>21710</t>
        </is>
      </c>
      <c r="D267" t="inlineStr">
        <is>
          <t>21710</t>
        </is>
      </c>
      <c r="G267" t="inlineStr">
        <is>
          <t>M29112</t>
        </is>
      </c>
      <c r="H267" t="inlineStr">
        <is>
          <t>B0891</t>
        </is>
      </c>
      <c r="I267" t="inlineStr">
        <is>
          <t>B08917B</t>
        </is>
      </c>
      <c r="J267" t="inlineStr">
        <is>
          <t>GENERATOR SET,DIESE - MEP-1040A</t>
        </is>
      </c>
      <c r="K267" t="inlineStr">
        <is>
          <t>IS</t>
        </is>
      </c>
      <c r="L267" t="inlineStr">
        <is>
          <t>EA</t>
        </is>
      </c>
      <c r="M267" t="inlineStr">
        <is>
          <t>R</t>
        </is>
      </c>
      <c r="N267" t="n">
        <v>0</v>
      </c>
      <c r="O267" t="n">
        <v>2</v>
      </c>
      <c r="P267" t="n">
        <v>2</v>
      </c>
    </row>
    <row r="268">
      <c r="B268" t="n">
        <v>264</v>
      </c>
      <c r="C268" t="inlineStr">
        <is>
          <t>21710</t>
        </is>
      </c>
      <c r="D268" t="inlineStr">
        <is>
          <t>21710</t>
        </is>
      </c>
      <c r="G268" t="inlineStr">
        <is>
          <t>M29112</t>
        </is>
      </c>
      <c r="H268" t="inlineStr">
        <is>
          <t>B0953</t>
        </is>
      </c>
      <c r="I268" t="inlineStr">
        <is>
          <t>B09537B</t>
        </is>
      </c>
      <c r="J268" t="inlineStr">
        <is>
          <t>GENERATOR SET,DIESE - MEP-1060A</t>
        </is>
      </c>
      <c r="K268" t="inlineStr">
        <is>
          <t>IS</t>
        </is>
      </c>
      <c r="L268" t="inlineStr">
        <is>
          <t>EA</t>
        </is>
      </c>
      <c r="M268" t="inlineStr">
        <is>
          <t>R</t>
        </is>
      </c>
      <c r="N268" t="n">
        <v>0</v>
      </c>
      <c r="O268" t="n">
        <v>4</v>
      </c>
      <c r="P268" t="n">
        <v>4</v>
      </c>
    </row>
    <row r="269">
      <c r="B269" t="n">
        <v>265</v>
      </c>
      <c r="C269" t="inlineStr">
        <is>
          <t>21710</t>
        </is>
      </c>
      <c r="D269" t="inlineStr">
        <is>
          <t>21710</t>
        </is>
      </c>
      <c r="G269" t="inlineStr">
        <is>
          <t>M29112</t>
        </is>
      </c>
      <c r="H269" t="inlineStr">
        <is>
          <t>B1420</t>
        </is>
      </c>
      <c r="I269" t="inlineStr">
        <is>
          <t>B14202B</t>
        </is>
      </c>
      <c r="J269" t="inlineStr">
        <is>
          <t>TESTING KIT,PETROLE - 57K6311</t>
        </is>
      </c>
      <c r="K269" t="inlineStr">
        <is>
          <t>IS</t>
        </is>
      </c>
      <c r="L269" t="inlineStr">
        <is>
          <t>KT</t>
        </is>
      </c>
      <c r="M269" t="inlineStr">
        <is>
          <t>N</t>
        </is>
      </c>
      <c r="N269" t="n">
        <v>0</v>
      </c>
      <c r="O269" t="n">
        <v>2</v>
      </c>
      <c r="P269" t="n">
        <v>2</v>
      </c>
    </row>
    <row r="270">
      <c r="B270" t="n">
        <v>266</v>
      </c>
      <c r="C270" t="inlineStr">
        <is>
          <t>21710</t>
        </is>
      </c>
      <c r="D270" t="inlineStr">
        <is>
          <t>21710</t>
        </is>
      </c>
      <c r="G270" t="inlineStr">
        <is>
          <t>M29112</t>
        </is>
      </c>
      <c r="H270" t="inlineStr">
        <is>
          <t>B1570</t>
        </is>
      </c>
      <c r="I270" t="inlineStr">
        <is>
          <t>B15707B</t>
        </is>
      </c>
      <c r="J270" t="inlineStr">
        <is>
          <t>PUMP ASSY,EXP REFUE - M81 TDH</t>
        </is>
      </c>
      <c r="K270" t="inlineStr">
        <is>
          <t>IS</t>
        </is>
      </c>
      <c r="L270" t="inlineStr">
        <is>
          <t>EA</t>
        </is>
      </c>
      <c r="M270" t="inlineStr">
        <is>
          <t>N</t>
        </is>
      </c>
      <c r="N270" t="n">
        <v>0</v>
      </c>
      <c r="O270" t="n">
        <v>2</v>
      </c>
      <c r="P270" t="n">
        <v>2</v>
      </c>
    </row>
    <row r="271">
      <c r="B271" t="n">
        <v>267</v>
      </c>
      <c r="C271" t="inlineStr">
        <is>
          <t>21710</t>
        </is>
      </c>
      <c r="D271" t="inlineStr">
        <is>
          <t>21710</t>
        </is>
      </c>
      <c r="G271" t="inlineStr">
        <is>
          <t>M29112</t>
        </is>
      </c>
      <c r="H271" t="inlineStr">
        <is>
          <t>B1580</t>
        </is>
      </c>
      <c r="I271" t="inlineStr">
        <is>
          <t>B15807B</t>
        </is>
      </c>
      <c r="J271" t="inlineStr">
        <is>
          <t>FUEL PUMP MODULE AY - 845010A0000</t>
        </is>
      </c>
      <c r="K271" t="inlineStr">
        <is>
          <t>IS</t>
        </is>
      </c>
      <c r="L271" t="inlineStr">
        <is>
          <t>AY</t>
        </is>
      </c>
      <c r="M271" t="inlineStr">
        <is>
          <t>R</t>
        </is>
      </c>
      <c r="N271" t="n">
        <v>0</v>
      </c>
      <c r="O271" t="n">
        <v>8</v>
      </c>
      <c r="P271" t="n">
        <v>8</v>
      </c>
    </row>
    <row r="272">
      <c r="B272" t="n">
        <v>268</v>
      </c>
      <c r="C272" t="inlineStr">
        <is>
          <t>21710</t>
        </is>
      </c>
      <c r="D272" t="inlineStr">
        <is>
          <t>21710</t>
        </is>
      </c>
      <c r="G272" t="inlineStr">
        <is>
          <t>M29112</t>
        </is>
      </c>
      <c r="H272" t="inlineStr">
        <is>
          <t>B1620</t>
        </is>
      </c>
      <c r="I272" t="inlineStr">
        <is>
          <t>B16207B</t>
        </is>
      </c>
      <c r="J272" t="inlineStr">
        <is>
          <t>PUMP UNIT SET - SL-3-00970D</t>
        </is>
      </c>
      <c r="K272" t="inlineStr">
        <is>
          <t>IS</t>
        </is>
      </c>
      <c r="L272" t="inlineStr">
        <is>
          <t>SE</t>
        </is>
      </c>
      <c r="M272" t="inlineStr">
        <is>
          <t>N</t>
        </is>
      </c>
      <c r="N272" t="n">
        <v>0</v>
      </c>
      <c r="O272" t="n">
        <v>1</v>
      </c>
      <c r="P272" t="n">
        <v>1</v>
      </c>
    </row>
    <row r="273">
      <c r="B273" t="n">
        <v>269</v>
      </c>
      <c r="C273" t="inlineStr">
        <is>
          <t>21710</t>
        </is>
      </c>
      <c r="D273" t="inlineStr">
        <is>
          <t>21710</t>
        </is>
      </c>
      <c r="G273" t="inlineStr">
        <is>
          <t>M29112</t>
        </is>
      </c>
      <c r="H273" t="inlineStr">
        <is>
          <t>B2035</t>
        </is>
      </c>
      <c r="I273" t="inlineStr">
        <is>
          <t>B20357B</t>
        </is>
      </c>
      <c r="J273" t="inlineStr">
        <is>
          <t>SLING,MULTIPLE LEG - CH-53E</t>
        </is>
      </c>
      <c r="K273" t="inlineStr">
        <is>
          <t>IS</t>
        </is>
      </c>
      <c r="L273" t="inlineStr">
        <is>
          <t>EA</t>
        </is>
      </c>
      <c r="M273" t="inlineStr">
        <is>
          <t>N</t>
        </is>
      </c>
      <c r="N273" t="n">
        <v>0</v>
      </c>
      <c r="O273" t="n">
        <v>4</v>
      </c>
      <c r="P273" t="n">
        <v>4</v>
      </c>
    </row>
    <row r="274">
      <c r="B274" t="n">
        <v>270</v>
      </c>
      <c r="C274" t="inlineStr">
        <is>
          <t>21710</t>
        </is>
      </c>
      <c r="D274" t="inlineStr">
        <is>
          <t>21710</t>
        </is>
      </c>
      <c r="G274" t="inlineStr">
        <is>
          <t>M29112</t>
        </is>
      </c>
      <c r="H274" t="inlineStr">
        <is>
          <t>B2085</t>
        </is>
      </c>
      <c r="I274" t="inlineStr">
        <is>
          <t>B20857B</t>
        </is>
      </c>
      <c r="J274" t="inlineStr">
        <is>
          <t>FUEL TANK ASSEMBLY - 845009A0000</t>
        </is>
      </c>
      <c r="K274" t="inlineStr">
        <is>
          <t>IS</t>
        </is>
      </c>
      <c r="L274" t="inlineStr">
        <is>
          <t>AY</t>
        </is>
      </c>
      <c r="M274" t="inlineStr">
        <is>
          <t>R</t>
        </is>
      </c>
      <c r="N274" t="n">
        <v>0</v>
      </c>
      <c r="O274" t="n">
        <v>24</v>
      </c>
      <c r="P274" t="n">
        <v>24</v>
      </c>
    </row>
    <row r="275">
      <c r="B275" t="n">
        <v>271</v>
      </c>
      <c r="C275" t="inlineStr">
        <is>
          <t>21710</t>
        </is>
      </c>
      <c r="D275" t="inlineStr">
        <is>
          <t>21710</t>
        </is>
      </c>
      <c r="G275" t="inlineStr">
        <is>
          <t>M29112</t>
        </is>
      </c>
      <c r="H275" t="inlineStr">
        <is>
          <t>B2130</t>
        </is>
      </c>
      <c r="I275" t="inlineStr">
        <is>
          <t>B21307B</t>
        </is>
      </c>
      <c r="J275" t="inlineStr">
        <is>
          <t>TANK,WATER,3000 GAL - RCF-3K-W-OT</t>
        </is>
      </c>
      <c r="K275" t="inlineStr">
        <is>
          <t>IS</t>
        </is>
      </c>
      <c r="L275" t="inlineStr">
        <is>
          <t>EA</t>
        </is>
      </c>
      <c r="M275" t="inlineStr">
        <is>
          <t>N</t>
        </is>
      </c>
      <c r="N275" t="n">
        <v>0</v>
      </c>
      <c r="O275" t="n">
        <v>3</v>
      </c>
      <c r="P275" t="n">
        <v>3</v>
      </c>
    </row>
    <row r="276">
      <c r="B276" t="n">
        <v>272</v>
      </c>
      <c r="C276" t="inlineStr">
        <is>
          <t>21730</t>
        </is>
      </c>
      <c r="D276" t="inlineStr">
        <is>
          <t>21730</t>
        </is>
      </c>
      <c r="G276" t="inlineStr">
        <is>
          <t>M29112</t>
        </is>
      </c>
      <c r="H276" t="inlineStr">
        <is>
          <t>B2260</t>
        </is>
      </c>
      <c r="I276" t="inlineStr">
        <is>
          <t>B22602E</t>
        </is>
      </c>
      <c r="J276" t="inlineStr">
        <is>
          <t>PIONEER KIT - KIT PIO 1002-M</t>
        </is>
      </c>
      <c r="K276" t="inlineStr">
        <is>
          <t>IS</t>
        </is>
      </c>
      <c r="L276" t="inlineStr">
        <is>
          <t>KT</t>
        </is>
      </c>
      <c r="M276" t="inlineStr">
        <is>
          <t>N</t>
        </is>
      </c>
      <c r="N276" t="n">
        <v>0</v>
      </c>
      <c r="O276" t="n">
        <v>1</v>
      </c>
      <c r="P276" t="n">
        <v>1</v>
      </c>
    </row>
    <row r="277">
      <c r="B277" t="n">
        <v>273</v>
      </c>
      <c r="C277" t="inlineStr">
        <is>
          <t>21710</t>
        </is>
      </c>
      <c r="D277" t="inlineStr">
        <is>
          <t>21710</t>
        </is>
      </c>
      <c r="G277" t="inlineStr">
        <is>
          <t>M29112</t>
        </is>
      </c>
      <c r="H277" t="inlineStr">
        <is>
          <t>B2483</t>
        </is>
      </c>
      <c r="I277" t="inlineStr">
        <is>
          <t>B24837B</t>
        </is>
      </c>
      <c r="J277" t="inlineStr">
        <is>
          <t>LOADER,BACKHOE - 420E IT</t>
        </is>
      </c>
      <c r="K277" t="inlineStr">
        <is>
          <t>IS</t>
        </is>
      </c>
      <c r="L277" t="inlineStr">
        <is>
          <t>EA</t>
        </is>
      </c>
      <c r="M277" t="inlineStr">
        <is>
          <t>R</t>
        </is>
      </c>
      <c r="N277" t="n">
        <v>0</v>
      </c>
      <c r="O277" t="n">
        <v>1</v>
      </c>
      <c r="P277" t="n">
        <v>1</v>
      </c>
    </row>
    <row r="278">
      <c r="B278" t="n">
        <v>274</v>
      </c>
      <c r="C278" t="inlineStr">
        <is>
          <t>21710</t>
        </is>
      </c>
      <c r="D278" t="inlineStr">
        <is>
          <t>21710</t>
        </is>
      </c>
      <c r="G278" t="inlineStr">
        <is>
          <t>M29112</t>
        </is>
      </c>
      <c r="H278" t="inlineStr">
        <is>
          <t>B2565</t>
        </is>
      </c>
      <c r="I278" t="inlineStr">
        <is>
          <t>B25657K</t>
        </is>
      </c>
      <c r="J278" t="inlineStr">
        <is>
          <t>TRAILER,FLAT BED - GTTU202-30-20</t>
        </is>
      </c>
      <c r="K278" t="inlineStr">
        <is>
          <t>IS</t>
        </is>
      </c>
      <c r="L278" t="inlineStr">
        <is>
          <t>EA</t>
        </is>
      </c>
      <c r="M278" t="inlineStr">
        <is>
          <t>N</t>
        </is>
      </c>
      <c r="N278" t="n">
        <v>0</v>
      </c>
      <c r="O278" t="n">
        <v>2</v>
      </c>
      <c r="P278" t="n">
        <v>2</v>
      </c>
    </row>
    <row r="279">
      <c r="B279" t="n">
        <v>275</v>
      </c>
      <c r="C279" t="inlineStr">
        <is>
          <t>21710</t>
        </is>
      </c>
      <c r="D279" t="inlineStr">
        <is>
          <t>21710</t>
        </is>
      </c>
      <c r="G279" t="inlineStr">
        <is>
          <t>M29112</t>
        </is>
      </c>
      <c r="H279" t="inlineStr">
        <is>
          <t>B2566</t>
        </is>
      </c>
      <c r="I279" t="inlineStr">
        <is>
          <t>B25667B</t>
        </is>
      </c>
      <c r="J279" t="inlineStr">
        <is>
          <t>TRUCK,LIFT,FORK - RT- 022</t>
        </is>
      </c>
      <c r="K279" t="inlineStr">
        <is>
          <t>IS</t>
        </is>
      </c>
      <c r="L279" t="inlineStr">
        <is>
          <t>EA</t>
        </is>
      </c>
      <c r="M279" t="inlineStr">
        <is>
          <t>R</t>
        </is>
      </c>
      <c r="N279" t="n">
        <v>0</v>
      </c>
      <c r="O279" t="n">
        <v>1</v>
      </c>
      <c r="P279" t="n">
        <v>1</v>
      </c>
    </row>
    <row r="280">
      <c r="B280" t="n">
        <v>276</v>
      </c>
      <c r="C280" t="inlineStr">
        <is>
          <t>44112</t>
        </is>
      </c>
      <c r="D280" t="inlineStr">
        <is>
          <t>44112</t>
        </is>
      </c>
      <c r="G280" t="inlineStr">
        <is>
          <t>M29112</t>
        </is>
      </c>
      <c r="H280" t="inlineStr">
        <is>
          <t>C0010</t>
        </is>
      </c>
      <c r="I280" t="inlineStr">
        <is>
          <t>C00102F</t>
        </is>
      </c>
      <c r="J280" t="inlineStr">
        <is>
          <t>CARRIER,SMALL ARMS</t>
        </is>
      </c>
      <c r="K280" t="inlineStr">
        <is>
          <t>IS</t>
        </is>
      </c>
      <c r="L280" t="inlineStr">
        <is>
          <t>EA</t>
        </is>
      </c>
      <c r="M280" t="inlineStr">
        <is>
          <t>N</t>
        </is>
      </c>
      <c r="N280" t="n">
        <v>58</v>
      </c>
      <c r="O280" t="n">
        <v>0</v>
      </c>
      <c r="P280" t="n">
        <v>58</v>
      </c>
    </row>
    <row r="281">
      <c r="B281" t="n">
        <v>277</v>
      </c>
      <c r="C281" t="inlineStr">
        <is>
          <t>44112</t>
        </is>
      </c>
      <c r="D281" t="inlineStr">
        <is>
          <t>44112</t>
        </is>
      </c>
      <c r="G281" t="inlineStr">
        <is>
          <t>M29112</t>
        </is>
      </c>
      <c r="H281" t="inlineStr">
        <is>
          <t>C0015</t>
        </is>
      </c>
      <c r="I281" t="inlineStr">
        <is>
          <t>C00152E</t>
        </is>
      </c>
      <c r="J281" t="inlineStr">
        <is>
          <t>INSERT,SMALL ARMS P - 95662</t>
        </is>
      </c>
      <c r="K281" t="inlineStr">
        <is>
          <t>IS</t>
        </is>
      </c>
      <c r="L281" t="inlineStr">
        <is>
          <t>EA</t>
        </is>
      </c>
      <c r="M281" t="inlineStr">
        <is>
          <t>N</t>
        </is>
      </c>
      <c r="N281" t="n">
        <v>116</v>
      </c>
      <c r="O281" t="n">
        <v>0</v>
      </c>
      <c r="P281" t="n">
        <v>116</v>
      </c>
    </row>
    <row r="282">
      <c r="B282" t="n">
        <v>278</v>
      </c>
      <c r="C282" t="inlineStr">
        <is>
          <t>44112</t>
        </is>
      </c>
      <c r="D282" t="inlineStr">
        <is>
          <t>44112</t>
        </is>
      </c>
      <c r="G282" t="inlineStr">
        <is>
          <t>M29112</t>
        </is>
      </c>
      <c r="H282" t="inlineStr">
        <is>
          <t>C0029</t>
        </is>
      </c>
      <c r="I282" t="inlineStr">
        <is>
          <t>C00292F</t>
        </is>
      </c>
      <c r="J282" t="inlineStr">
        <is>
          <t>DRAWERS,COLD WEATHE - FRGFDR</t>
        </is>
      </c>
      <c r="K282" t="inlineStr">
        <is>
          <t>IS</t>
        </is>
      </c>
      <c r="L282" t="inlineStr">
        <is>
          <t>PR</t>
        </is>
      </c>
      <c r="M282" t="inlineStr">
        <is>
          <t>N</t>
        </is>
      </c>
      <c r="N282" t="n">
        <v>58</v>
      </c>
      <c r="O282" t="n">
        <v>0</v>
      </c>
      <c r="P282" t="n">
        <v>58</v>
      </c>
    </row>
    <row r="283">
      <c r="B283" t="n">
        <v>279</v>
      </c>
      <c r="C283" t="inlineStr">
        <is>
          <t>44112</t>
        </is>
      </c>
      <c r="D283" t="inlineStr">
        <is>
          <t>44112</t>
        </is>
      </c>
      <c r="G283" t="inlineStr">
        <is>
          <t>M29112</t>
        </is>
      </c>
      <c r="H283" t="inlineStr">
        <is>
          <t>C0040</t>
        </is>
      </c>
      <c r="I283" t="inlineStr">
        <is>
          <t>C00402E</t>
        </is>
      </c>
      <c r="J283" t="inlineStr">
        <is>
          <t>PAD,KNEE - MEDIUM</t>
        </is>
      </c>
      <c r="K283" t="inlineStr">
        <is>
          <t>IS</t>
        </is>
      </c>
      <c r="L283" t="inlineStr"/>
      <c r="M283" t="inlineStr">
        <is>
          <t>N</t>
        </is>
      </c>
      <c r="N283" t="n">
        <v>15</v>
      </c>
      <c r="O283" t="n">
        <v>0</v>
      </c>
      <c r="P283" t="n">
        <v>15</v>
      </c>
    </row>
    <row r="284">
      <c r="B284" t="n">
        <v>280</v>
      </c>
      <c r="C284" t="inlineStr">
        <is>
          <t>44112</t>
        </is>
      </c>
      <c r="D284" t="inlineStr">
        <is>
          <t>44112</t>
        </is>
      </c>
      <c r="G284" t="inlineStr">
        <is>
          <t>M29112</t>
        </is>
      </c>
      <c r="H284" t="inlineStr">
        <is>
          <t>C0041</t>
        </is>
      </c>
      <c r="I284" t="inlineStr">
        <is>
          <t>C00412E</t>
        </is>
      </c>
      <c r="J284" t="inlineStr">
        <is>
          <t>ELBOW PADS,EXTERNAL - SMALL</t>
        </is>
      </c>
      <c r="K284" t="inlineStr">
        <is>
          <t>IS</t>
        </is>
      </c>
      <c r="L284" t="inlineStr"/>
      <c r="M284" t="inlineStr">
        <is>
          <t>N</t>
        </is>
      </c>
      <c r="N284" t="n">
        <v>15</v>
      </c>
      <c r="O284" t="n">
        <v>0</v>
      </c>
      <c r="P284" t="n">
        <v>15</v>
      </c>
    </row>
    <row r="285">
      <c r="B285" t="n">
        <v>281</v>
      </c>
      <c r="C285" t="inlineStr">
        <is>
          <t>44112</t>
        </is>
      </c>
      <c r="D285" t="inlineStr">
        <is>
          <t>44112</t>
        </is>
      </c>
      <c r="G285" t="inlineStr">
        <is>
          <t>M29112</t>
        </is>
      </c>
      <c r="H285" t="inlineStr">
        <is>
          <t>C0057</t>
        </is>
      </c>
      <c r="I285" t="inlineStr">
        <is>
          <t>C00577B</t>
        </is>
      </c>
      <c r="J285" t="inlineStr">
        <is>
          <t>UNMANNED AIRCRAFT</t>
        </is>
      </c>
      <c r="K285" t="inlineStr">
        <is>
          <t>IS</t>
        </is>
      </c>
      <c r="L285" t="inlineStr">
        <is>
          <t>EA</t>
        </is>
      </c>
      <c r="M285" t="inlineStr">
        <is>
          <t>N</t>
        </is>
      </c>
      <c r="N285" t="n">
        <v>0</v>
      </c>
      <c r="O285" t="n">
        <v>2</v>
      </c>
      <c r="P285" t="n">
        <v>2</v>
      </c>
    </row>
    <row r="286">
      <c r="B286" t="n">
        <v>282</v>
      </c>
      <c r="C286" t="inlineStr">
        <is>
          <t>44112</t>
        </is>
      </c>
      <c r="D286" t="inlineStr">
        <is>
          <t>44112</t>
        </is>
      </c>
      <c r="G286" t="inlineStr">
        <is>
          <t>M29112</t>
        </is>
      </c>
      <c r="H286" t="inlineStr">
        <is>
          <t>C0061</t>
        </is>
      </c>
      <c r="I286" t="inlineStr">
        <is>
          <t>C00612F</t>
        </is>
      </c>
      <c r="J286" t="inlineStr">
        <is>
          <t>CARRIER,SMALL ARMS - PC GEN II</t>
        </is>
      </c>
      <c r="K286" t="inlineStr">
        <is>
          <t>IS</t>
        </is>
      </c>
      <c r="L286" t="inlineStr">
        <is>
          <t>EA</t>
        </is>
      </c>
      <c r="M286" t="inlineStr">
        <is>
          <t>N</t>
        </is>
      </c>
      <c r="N286" t="n">
        <v>58</v>
      </c>
      <c r="O286" t="n">
        <v>0</v>
      </c>
      <c r="P286" t="n">
        <v>58</v>
      </c>
    </row>
    <row r="287">
      <c r="B287" t="n">
        <v>283</v>
      </c>
      <c r="C287" t="inlineStr">
        <is>
          <t>44112</t>
        </is>
      </c>
      <c r="D287" t="inlineStr">
        <is>
          <t>44112</t>
        </is>
      </c>
      <c r="G287" t="inlineStr">
        <is>
          <t>M29112</t>
        </is>
      </c>
      <c r="H287" t="inlineStr">
        <is>
          <t>C0062</t>
        </is>
      </c>
      <c r="I287" t="inlineStr">
        <is>
          <t>C00622F</t>
        </is>
      </c>
      <c r="J287" t="inlineStr">
        <is>
          <t>COAT,CHEMICAL PROTE - UNIVERSAL COAT</t>
        </is>
      </c>
      <c r="K287" t="inlineStr">
        <is>
          <t>IS</t>
        </is>
      </c>
      <c r="L287" t="inlineStr">
        <is>
          <t>EA</t>
        </is>
      </c>
      <c r="M287" t="inlineStr">
        <is>
          <t>N</t>
        </is>
      </c>
      <c r="N287" t="n">
        <v>116</v>
      </c>
      <c r="O287" t="n">
        <v>0</v>
      </c>
      <c r="P287" t="n">
        <v>116</v>
      </c>
    </row>
    <row r="288">
      <c r="B288" t="n">
        <v>284</v>
      </c>
      <c r="C288" t="inlineStr">
        <is>
          <t>44112</t>
        </is>
      </c>
      <c r="D288" t="inlineStr">
        <is>
          <t>44112</t>
        </is>
      </c>
      <c r="G288" t="inlineStr">
        <is>
          <t>M29112</t>
        </is>
      </c>
      <c r="H288" t="inlineStr">
        <is>
          <t>C0063</t>
        </is>
      </c>
      <c r="I288" t="inlineStr">
        <is>
          <t>C00632F</t>
        </is>
      </c>
      <c r="J288" t="inlineStr">
        <is>
          <t>TROUSERS,CHEMICAL P - UNIVERSAL TROU</t>
        </is>
      </c>
      <c r="K288" t="inlineStr">
        <is>
          <t>IS</t>
        </is>
      </c>
      <c r="L288" t="inlineStr">
        <is>
          <t>PR</t>
        </is>
      </c>
      <c r="M288" t="inlineStr">
        <is>
          <t>N</t>
        </is>
      </c>
      <c r="N288" t="n">
        <v>116</v>
      </c>
      <c r="O288" t="n">
        <v>0</v>
      </c>
      <c r="P288" t="n">
        <v>116</v>
      </c>
    </row>
    <row r="289">
      <c r="B289" t="n">
        <v>285</v>
      </c>
      <c r="C289" t="inlineStr">
        <is>
          <t>44112</t>
        </is>
      </c>
      <c r="D289" t="inlineStr">
        <is>
          <t>44112</t>
        </is>
      </c>
      <c r="G289" t="inlineStr">
        <is>
          <t>M29112</t>
        </is>
      </c>
      <c r="H289" t="inlineStr">
        <is>
          <t>C0074</t>
        </is>
      </c>
      <c r="I289" t="inlineStr">
        <is>
          <t>C00742E</t>
        </is>
      </c>
      <c r="J289" t="inlineStr">
        <is>
          <t>FLASHLIGHT - 14032</t>
        </is>
      </c>
      <c r="K289" t="inlineStr">
        <is>
          <t>IS</t>
        </is>
      </c>
      <c r="L289" t="inlineStr">
        <is>
          <t>EA</t>
        </is>
      </c>
      <c r="M289" t="inlineStr">
        <is>
          <t>N</t>
        </is>
      </c>
      <c r="N289" t="n">
        <v>58</v>
      </c>
      <c r="O289" t="n">
        <v>0</v>
      </c>
      <c r="P289" t="n">
        <v>58</v>
      </c>
    </row>
    <row r="290">
      <c r="B290" t="n">
        <v>286</v>
      </c>
      <c r="C290" t="inlineStr">
        <is>
          <t>44112</t>
        </is>
      </c>
      <c r="D290" t="inlineStr">
        <is>
          <t>44112</t>
        </is>
      </c>
      <c r="G290" t="inlineStr">
        <is>
          <t>M29112</t>
        </is>
      </c>
      <c r="H290" t="inlineStr">
        <is>
          <t>C0077</t>
        </is>
      </c>
      <c r="I290" t="inlineStr">
        <is>
          <t>C00772E</t>
        </is>
      </c>
      <c r="J290" t="inlineStr">
        <is>
          <t>COLLAPSIBLE JMIC 3. - TAN</t>
        </is>
      </c>
      <c r="K290" t="inlineStr">
        <is>
          <t>IS</t>
        </is>
      </c>
      <c r="L290" t="inlineStr">
        <is>
          <t>EA</t>
        </is>
      </c>
      <c r="M290" t="inlineStr">
        <is>
          <t>N</t>
        </is>
      </c>
      <c r="N290" t="n">
        <v>0</v>
      </c>
      <c r="O290" t="n">
        <v>25</v>
      </c>
      <c r="P290" t="n">
        <v>25</v>
      </c>
    </row>
    <row r="291">
      <c r="B291" t="n">
        <v>287</v>
      </c>
      <c r="C291" t="inlineStr">
        <is>
          <t>44112</t>
        </is>
      </c>
      <c r="D291" t="inlineStr">
        <is>
          <t>44112</t>
        </is>
      </c>
      <c r="G291" t="inlineStr">
        <is>
          <t>M29112</t>
        </is>
      </c>
      <c r="H291" t="inlineStr">
        <is>
          <t>C0083</t>
        </is>
      </c>
      <c r="I291" t="inlineStr">
        <is>
          <t>C00832E</t>
        </is>
      </c>
      <c r="J291" t="inlineStr">
        <is>
          <t>STRAP CUTTER,RESCUE - 1431</t>
        </is>
      </c>
      <c r="K291" t="inlineStr">
        <is>
          <t>IS</t>
        </is>
      </c>
      <c r="L291" t="inlineStr">
        <is>
          <t>EA</t>
        </is>
      </c>
      <c r="M291" t="inlineStr">
        <is>
          <t>N</t>
        </is>
      </c>
      <c r="N291" t="n">
        <v>58</v>
      </c>
      <c r="O291" t="n">
        <v>0</v>
      </c>
      <c r="P291" t="n">
        <v>58</v>
      </c>
    </row>
    <row r="292">
      <c r="B292" t="n">
        <v>288</v>
      </c>
      <c r="C292" t="inlineStr">
        <is>
          <t>44112</t>
        </is>
      </c>
      <c r="D292" t="inlineStr">
        <is>
          <t>44112</t>
        </is>
      </c>
      <c r="G292" t="inlineStr">
        <is>
          <t>M29112</t>
        </is>
      </c>
      <c r="H292" t="inlineStr">
        <is>
          <t>C0115</t>
        </is>
      </c>
      <c r="I292" t="inlineStr">
        <is>
          <t>C01152F</t>
        </is>
      </c>
      <c r="J292" t="inlineStr">
        <is>
          <t>DRAWERS,COLD WEATHE - FRDRCW</t>
        </is>
      </c>
      <c r="K292" t="inlineStr">
        <is>
          <t>IS</t>
        </is>
      </c>
      <c r="L292" t="inlineStr">
        <is>
          <t>PR</t>
        </is>
      </c>
      <c r="M292" t="inlineStr">
        <is>
          <t>N</t>
        </is>
      </c>
      <c r="N292" t="n">
        <v>116</v>
      </c>
      <c r="O292" t="n">
        <v>0</v>
      </c>
      <c r="P292" t="n">
        <v>116</v>
      </c>
    </row>
    <row r="293">
      <c r="B293" t="n">
        <v>289</v>
      </c>
      <c r="C293" t="inlineStr">
        <is>
          <t>44112</t>
        </is>
      </c>
      <c r="D293" t="inlineStr">
        <is>
          <t>44112</t>
        </is>
      </c>
      <c r="G293" t="inlineStr">
        <is>
          <t>M29112</t>
        </is>
      </c>
      <c r="H293" t="inlineStr">
        <is>
          <t>C0116</t>
        </is>
      </c>
      <c r="I293" t="inlineStr">
        <is>
          <t>C01162F</t>
        </is>
      </c>
      <c r="J293" t="inlineStr">
        <is>
          <t>UNDERSHIRT,COLD WEA - FRUSHCW</t>
        </is>
      </c>
      <c r="K293" t="inlineStr">
        <is>
          <t>IS</t>
        </is>
      </c>
      <c r="L293" t="inlineStr">
        <is>
          <t>EA</t>
        </is>
      </c>
      <c r="M293" t="inlineStr">
        <is>
          <t>N</t>
        </is>
      </c>
      <c r="N293" t="n">
        <v>116</v>
      </c>
      <c r="O293" t="n">
        <v>0</v>
      </c>
      <c r="P293" t="n">
        <v>116</v>
      </c>
    </row>
    <row r="294">
      <c r="B294" t="n">
        <v>290</v>
      </c>
      <c r="C294" t="inlineStr">
        <is>
          <t>44112</t>
        </is>
      </c>
      <c r="D294" t="inlineStr">
        <is>
          <t>44112</t>
        </is>
      </c>
      <c r="G294" t="inlineStr">
        <is>
          <t>M29112</t>
        </is>
      </c>
      <c r="H294" t="inlineStr">
        <is>
          <t>C0117</t>
        </is>
      </c>
      <c r="I294" t="inlineStr">
        <is>
          <t>C01172F</t>
        </is>
      </c>
      <c r="J294" t="inlineStr">
        <is>
          <t>SHIRT,COLD WEATHER - FRGFP07</t>
        </is>
      </c>
      <c r="K294" t="inlineStr">
        <is>
          <t>IS</t>
        </is>
      </c>
      <c r="L294" t="inlineStr">
        <is>
          <t>EA</t>
        </is>
      </c>
      <c r="M294" t="inlineStr">
        <is>
          <t>N</t>
        </is>
      </c>
      <c r="N294" t="n">
        <v>58</v>
      </c>
      <c r="O294" t="n">
        <v>0</v>
      </c>
      <c r="P294" t="n">
        <v>58</v>
      </c>
    </row>
    <row r="295">
      <c r="B295" t="n">
        <v>291</v>
      </c>
      <c r="C295" t="inlineStr">
        <is>
          <t>44112</t>
        </is>
      </c>
      <c r="D295" t="inlineStr">
        <is>
          <t>44112</t>
        </is>
      </c>
      <c r="G295" t="inlineStr">
        <is>
          <t>M29112</t>
        </is>
      </c>
      <c r="H295" t="inlineStr">
        <is>
          <t>C0120</t>
        </is>
      </c>
      <c r="I295" t="inlineStr">
        <is>
          <t>C01202E</t>
        </is>
      </c>
      <c r="J295" t="inlineStr">
        <is>
          <t>HELMET,GROUND TROOP - ECH</t>
        </is>
      </c>
      <c r="K295" t="inlineStr">
        <is>
          <t>IS</t>
        </is>
      </c>
      <c r="L295" t="inlineStr">
        <is>
          <t>EA</t>
        </is>
      </c>
      <c r="M295" t="inlineStr">
        <is>
          <t>N</t>
        </is>
      </c>
      <c r="N295" t="n">
        <v>58</v>
      </c>
      <c r="O295" t="n">
        <v>0</v>
      </c>
      <c r="P295" t="n">
        <v>58</v>
      </c>
    </row>
    <row r="296">
      <c r="B296" t="n">
        <v>292</v>
      </c>
      <c r="C296" t="inlineStr">
        <is>
          <t>44112</t>
        </is>
      </c>
      <c r="D296" t="inlineStr">
        <is>
          <t>44112</t>
        </is>
      </c>
      <c r="G296" t="inlineStr">
        <is>
          <t>M29112</t>
        </is>
      </c>
      <c r="H296" t="inlineStr">
        <is>
          <t>C0132</t>
        </is>
      </c>
      <c r="I296" t="inlineStr">
        <is>
          <t>C01322B</t>
        </is>
      </c>
      <c r="J296" t="inlineStr">
        <is>
          <t>PAPER,CHEMICAL AGEN - M8</t>
        </is>
      </c>
      <c r="K296" t="inlineStr">
        <is>
          <t>IS</t>
        </is>
      </c>
      <c r="L296" t="inlineStr">
        <is>
          <t>BK</t>
        </is>
      </c>
      <c r="M296" t="inlineStr">
        <is>
          <t>N</t>
        </is>
      </c>
      <c r="N296" t="n">
        <v>58</v>
      </c>
      <c r="O296" t="n">
        <v>0</v>
      </c>
      <c r="P296" t="n">
        <v>58</v>
      </c>
    </row>
    <row r="297">
      <c r="B297" t="n">
        <v>293</v>
      </c>
      <c r="C297" t="inlineStr">
        <is>
          <t>44112</t>
        </is>
      </c>
      <c r="D297" t="inlineStr">
        <is>
          <t>44112</t>
        </is>
      </c>
      <c r="G297" t="inlineStr">
        <is>
          <t>M29112</t>
        </is>
      </c>
      <c r="H297" t="inlineStr">
        <is>
          <t>C0135</t>
        </is>
      </c>
      <c r="I297" t="inlineStr">
        <is>
          <t>C01352F</t>
        </is>
      </c>
      <c r="J297" t="inlineStr">
        <is>
          <t>BOOTS,COLD WEATHER - C/W RAT</t>
        </is>
      </c>
      <c r="K297" t="inlineStr">
        <is>
          <t>IS</t>
        </is>
      </c>
      <c r="L297" t="inlineStr">
        <is>
          <t>EA</t>
        </is>
      </c>
      <c r="M297" t="inlineStr">
        <is>
          <t>N</t>
        </is>
      </c>
      <c r="N297" t="n">
        <v>58</v>
      </c>
      <c r="O297" t="n">
        <v>0</v>
      </c>
      <c r="P297" t="n">
        <v>58</v>
      </c>
    </row>
    <row r="298">
      <c r="B298" t="n">
        <v>294</v>
      </c>
      <c r="C298" t="inlineStr">
        <is>
          <t>44112</t>
        </is>
      </c>
      <c r="D298" t="inlineStr">
        <is>
          <t>44112</t>
        </is>
      </c>
      <c r="G298" t="inlineStr">
        <is>
          <t>M29112</t>
        </is>
      </c>
      <c r="H298" t="inlineStr">
        <is>
          <t>C0136</t>
        </is>
      </c>
      <c r="I298" t="inlineStr">
        <is>
          <t>C01362F</t>
        </is>
      </c>
      <c r="J298" t="inlineStr">
        <is>
          <t>BOOTS,HOT WEATHER - H/W RAT</t>
        </is>
      </c>
      <c r="K298" t="inlineStr">
        <is>
          <t>IS</t>
        </is>
      </c>
      <c r="L298" t="inlineStr">
        <is>
          <t>EA</t>
        </is>
      </c>
      <c r="M298" t="inlineStr">
        <is>
          <t>N</t>
        </is>
      </c>
      <c r="N298" t="n">
        <v>58</v>
      </c>
      <c r="O298" t="n">
        <v>0</v>
      </c>
      <c r="P298" t="n">
        <v>58</v>
      </c>
    </row>
    <row r="299">
      <c r="B299" t="n">
        <v>295</v>
      </c>
      <c r="C299" t="inlineStr">
        <is>
          <t>44112</t>
        </is>
      </c>
      <c r="D299" t="inlineStr">
        <is>
          <t>44112</t>
        </is>
      </c>
      <c r="G299" t="inlineStr">
        <is>
          <t>M29112</t>
        </is>
      </c>
      <c r="H299" t="inlineStr">
        <is>
          <t>C0137</t>
        </is>
      </c>
      <c r="I299" t="inlineStr">
        <is>
          <t>C01372F</t>
        </is>
      </c>
      <c r="J299" t="inlineStr">
        <is>
          <t>JACKET,COMBAT - N/A</t>
        </is>
      </c>
      <c r="K299" t="inlineStr">
        <is>
          <t>IS</t>
        </is>
      </c>
      <c r="L299" t="inlineStr">
        <is>
          <t>EA</t>
        </is>
      </c>
      <c r="M299" t="inlineStr">
        <is>
          <t>N</t>
        </is>
      </c>
      <c r="N299" t="n">
        <v>58</v>
      </c>
      <c r="O299" t="n">
        <v>0</v>
      </c>
      <c r="P299" t="n">
        <v>58</v>
      </c>
    </row>
    <row r="300">
      <c r="B300" t="n">
        <v>296</v>
      </c>
      <c r="C300" t="inlineStr">
        <is>
          <t>44112</t>
        </is>
      </c>
      <c r="D300" t="inlineStr">
        <is>
          <t>44112</t>
        </is>
      </c>
      <c r="G300" t="inlineStr">
        <is>
          <t>M29112</t>
        </is>
      </c>
      <c r="H300" t="inlineStr">
        <is>
          <t>C0169</t>
        </is>
      </c>
      <c r="I300" t="inlineStr">
        <is>
          <t>C01692F</t>
        </is>
      </c>
      <c r="J300" t="inlineStr">
        <is>
          <t>MAT,SLEEPING - ISM</t>
        </is>
      </c>
      <c r="K300" t="inlineStr">
        <is>
          <t>IS</t>
        </is>
      </c>
      <c r="L300" t="inlineStr">
        <is>
          <t>EA</t>
        </is>
      </c>
      <c r="M300" t="inlineStr">
        <is>
          <t>N</t>
        </is>
      </c>
      <c r="N300" t="n">
        <v>58</v>
      </c>
      <c r="O300" t="n">
        <v>0</v>
      </c>
      <c r="P300" t="n">
        <v>58</v>
      </c>
    </row>
    <row r="301">
      <c r="B301" t="n">
        <v>297</v>
      </c>
      <c r="C301" t="inlineStr">
        <is>
          <t>44112</t>
        </is>
      </c>
      <c r="D301" t="inlineStr">
        <is>
          <t>44112</t>
        </is>
      </c>
      <c r="G301" t="inlineStr">
        <is>
          <t>M29112</t>
        </is>
      </c>
      <c r="H301" t="inlineStr">
        <is>
          <t>C0170</t>
        </is>
      </c>
      <c r="I301" t="inlineStr">
        <is>
          <t>C01702F</t>
        </is>
      </c>
      <c r="J301" t="inlineStr">
        <is>
          <t>LINER,WET WEATHER P - N/A</t>
        </is>
      </c>
      <c r="K301" t="inlineStr">
        <is>
          <t>IS</t>
        </is>
      </c>
      <c r="L301" t="inlineStr">
        <is>
          <t>EA</t>
        </is>
      </c>
      <c r="M301" t="inlineStr">
        <is>
          <t>N</t>
        </is>
      </c>
      <c r="N301" t="n">
        <v>58</v>
      </c>
      <c r="O301" t="n">
        <v>0</v>
      </c>
      <c r="P301" t="n">
        <v>58</v>
      </c>
    </row>
    <row r="302">
      <c r="B302" t="n">
        <v>298</v>
      </c>
      <c r="C302" t="inlineStr">
        <is>
          <t>44112</t>
        </is>
      </c>
      <c r="D302" t="inlineStr">
        <is>
          <t>44112</t>
        </is>
      </c>
      <c r="G302" t="inlineStr">
        <is>
          <t>M29112</t>
        </is>
      </c>
      <c r="H302" t="inlineStr">
        <is>
          <t>C0180</t>
        </is>
      </c>
      <c r="I302" t="inlineStr">
        <is>
          <t>C01802F</t>
        </is>
      </c>
      <c r="J302" t="inlineStr">
        <is>
          <t>BELT,INDIVIDUAL EQU - N/A</t>
        </is>
      </c>
      <c r="K302" t="inlineStr">
        <is>
          <t>IS</t>
        </is>
      </c>
      <c r="L302" t="inlineStr">
        <is>
          <t>EA</t>
        </is>
      </c>
      <c r="M302" t="inlineStr">
        <is>
          <t>N</t>
        </is>
      </c>
      <c r="N302" t="n">
        <v>58</v>
      </c>
      <c r="O302" t="n">
        <v>0</v>
      </c>
      <c r="P302" t="n">
        <v>58</v>
      </c>
    </row>
    <row r="303">
      <c r="B303" t="n">
        <v>299</v>
      </c>
      <c r="C303" t="inlineStr">
        <is>
          <t>44112</t>
        </is>
      </c>
      <c r="D303" t="inlineStr">
        <is>
          <t>44112</t>
        </is>
      </c>
      <c r="G303" t="inlineStr">
        <is>
          <t>M29112</t>
        </is>
      </c>
      <c r="H303" t="inlineStr">
        <is>
          <t>C0187</t>
        </is>
      </c>
      <c r="I303" t="inlineStr">
        <is>
          <t>C01877B</t>
        </is>
      </c>
      <c r="J303" t="inlineStr">
        <is>
          <t>SHIPPING AND STORAG - CMCI377</t>
        </is>
      </c>
      <c r="K303" t="inlineStr">
        <is>
          <t>IS</t>
        </is>
      </c>
      <c r="L303" t="inlineStr">
        <is>
          <t>EA</t>
        </is>
      </c>
      <c r="M303" t="inlineStr">
        <is>
          <t>N</t>
        </is>
      </c>
      <c r="N303" t="n">
        <v>0</v>
      </c>
      <c r="O303" t="n">
        <v>3</v>
      </c>
      <c r="P303" t="n">
        <v>3</v>
      </c>
    </row>
    <row r="304">
      <c r="B304" t="n">
        <v>300</v>
      </c>
      <c r="C304" t="inlineStr">
        <is>
          <t>44112</t>
        </is>
      </c>
      <c r="D304" t="inlineStr">
        <is>
          <t>44112</t>
        </is>
      </c>
      <c r="G304" t="inlineStr">
        <is>
          <t>M29112</t>
        </is>
      </c>
      <c r="H304" t="inlineStr">
        <is>
          <t>C0188</t>
        </is>
      </c>
      <c r="I304" t="inlineStr">
        <is>
          <t>C01882F</t>
        </is>
      </c>
      <c r="J304" t="inlineStr">
        <is>
          <t>No Item Name Availa - N/A</t>
        </is>
      </c>
      <c r="K304" t="inlineStr">
        <is>
          <t>IS</t>
        </is>
      </c>
      <c r="L304" t="inlineStr"/>
      <c r="M304" t="inlineStr">
        <is>
          <t>N</t>
        </is>
      </c>
      <c r="N304" t="n">
        <v>0</v>
      </c>
      <c r="O304" t="n">
        <v>0</v>
      </c>
      <c r="P304" t="n">
        <v>0</v>
      </c>
    </row>
    <row r="305">
      <c r="B305" t="n">
        <v>301</v>
      </c>
      <c r="C305" t="inlineStr">
        <is>
          <t>44112</t>
        </is>
      </c>
      <c r="D305" t="inlineStr">
        <is>
          <t>44112</t>
        </is>
      </c>
      <c r="G305" t="inlineStr">
        <is>
          <t>M29112</t>
        </is>
      </c>
      <c r="H305" t="inlineStr">
        <is>
          <t>C0189</t>
        </is>
      </c>
      <c r="I305" t="inlineStr">
        <is>
          <t>C01892F</t>
        </is>
      </c>
      <c r="J305" t="inlineStr">
        <is>
          <t>POUCH,MONOCULAR NIG - N/A</t>
        </is>
      </c>
      <c r="K305" t="inlineStr">
        <is>
          <t>IS</t>
        </is>
      </c>
      <c r="L305" t="inlineStr">
        <is>
          <t>EA</t>
        </is>
      </c>
      <c r="M305" t="inlineStr">
        <is>
          <t>N</t>
        </is>
      </c>
      <c r="N305" t="n">
        <v>63</v>
      </c>
      <c r="O305" t="n">
        <v>0</v>
      </c>
      <c r="P305" t="n">
        <v>63</v>
      </c>
    </row>
    <row r="306">
      <c r="B306" t="n">
        <v>302</v>
      </c>
      <c r="C306" t="inlineStr">
        <is>
          <t>44112</t>
        </is>
      </c>
      <c r="D306" t="inlineStr">
        <is>
          <t>44112</t>
        </is>
      </c>
      <c r="G306" t="inlineStr">
        <is>
          <t>M29112</t>
        </is>
      </c>
      <c r="H306" t="inlineStr">
        <is>
          <t>C0190</t>
        </is>
      </c>
      <c r="I306" t="inlineStr">
        <is>
          <t>C01902F</t>
        </is>
      </c>
      <c r="J306" t="inlineStr">
        <is>
          <t>POUCH,TACTICAL HAND - N/A</t>
        </is>
      </c>
      <c r="K306" t="inlineStr">
        <is>
          <t>IS</t>
        </is>
      </c>
      <c r="L306" t="inlineStr">
        <is>
          <t>EA</t>
        </is>
      </c>
      <c r="M306" t="inlineStr">
        <is>
          <t>N</t>
        </is>
      </c>
      <c r="N306" t="n">
        <v>0</v>
      </c>
      <c r="O306" t="n">
        <v>0</v>
      </c>
      <c r="P306" t="n">
        <v>0</v>
      </c>
    </row>
    <row r="307">
      <c r="B307" t="n">
        <v>303</v>
      </c>
      <c r="C307" t="inlineStr">
        <is>
          <t>44112</t>
        </is>
      </c>
      <c r="D307" t="inlineStr">
        <is>
          <t>44112</t>
        </is>
      </c>
      <c r="G307" t="inlineStr">
        <is>
          <t>M29112</t>
        </is>
      </c>
      <c r="H307" t="inlineStr">
        <is>
          <t>C0191</t>
        </is>
      </c>
      <c r="I307" t="inlineStr">
        <is>
          <t>C01912F</t>
        </is>
      </c>
      <c r="J307" t="inlineStr">
        <is>
          <t>CANTEEN,GENERAL PUR - 4015CB</t>
        </is>
      </c>
      <c r="K307" t="inlineStr">
        <is>
          <t>IS</t>
        </is>
      </c>
      <c r="L307" t="inlineStr">
        <is>
          <t>EA</t>
        </is>
      </c>
      <c r="M307" t="inlineStr">
        <is>
          <t>N</t>
        </is>
      </c>
      <c r="N307" t="n">
        <v>116</v>
      </c>
      <c r="O307" t="n">
        <v>0</v>
      </c>
      <c r="P307" t="n">
        <v>116</v>
      </c>
    </row>
    <row r="308">
      <c r="B308" t="n">
        <v>304</v>
      </c>
      <c r="C308" t="inlineStr">
        <is>
          <t>44112</t>
        </is>
      </c>
      <c r="D308" t="inlineStr">
        <is>
          <t>44112</t>
        </is>
      </c>
      <c r="G308" t="inlineStr">
        <is>
          <t>M29112</t>
        </is>
      </c>
      <c r="H308" t="inlineStr">
        <is>
          <t>C0218</t>
        </is>
      </c>
      <c r="I308" t="inlineStr">
        <is>
          <t>C02182B</t>
        </is>
      </c>
      <c r="J308" t="inlineStr">
        <is>
          <t>DECONTAMINATION KIT - 10038819</t>
        </is>
      </c>
      <c r="K308" t="inlineStr">
        <is>
          <t>IS</t>
        </is>
      </c>
      <c r="L308" t="inlineStr">
        <is>
          <t>BX</t>
        </is>
      </c>
      <c r="M308" t="inlineStr">
        <is>
          <t>N</t>
        </is>
      </c>
      <c r="N308" t="n">
        <v>1</v>
      </c>
      <c r="O308" t="n">
        <v>0</v>
      </c>
      <c r="P308" t="n">
        <v>1</v>
      </c>
    </row>
    <row r="309">
      <c r="B309" t="n">
        <v>305</v>
      </c>
      <c r="C309" t="inlineStr">
        <is>
          <t>44112</t>
        </is>
      </c>
      <c r="D309" t="inlineStr">
        <is>
          <t>44112</t>
        </is>
      </c>
      <c r="G309" t="inlineStr">
        <is>
          <t>M29112</t>
        </is>
      </c>
      <c r="H309" t="inlineStr">
        <is>
          <t>C0222</t>
        </is>
      </c>
      <c r="I309" t="inlineStr">
        <is>
          <t>C02222F</t>
        </is>
      </c>
      <c r="J309" t="inlineStr">
        <is>
          <t>HELMET,GROUND TROOP - HC ECH</t>
        </is>
      </c>
      <c r="K309" t="inlineStr">
        <is>
          <t>IS</t>
        </is>
      </c>
      <c r="L309" t="inlineStr">
        <is>
          <t>EA</t>
        </is>
      </c>
      <c r="M309" t="inlineStr">
        <is>
          <t>N</t>
        </is>
      </c>
      <c r="N309" t="n">
        <v>0</v>
      </c>
      <c r="O309" t="n">
        <v>0</v>
      </c>
      <c r="P309" t="n">
        <v>0</v>
      </c>
    </row>
    <row r="310">
      <c r="B310" t="n">
        <v>306</v>
      </c>
      <c r="C310" t="inlineStr">
        <is>
          <t>44112</t>
        </is>
      </c>
      <c r="D310" t="inlineStr">
        <is>
          <t>44112</t>
        </is>
      </c>
      <c r="G310" t="inlineStr">
        <is>
          <t>M29112</t>
        </is>
      </c>
      <c r="H310" t="inlineStr">
        <is>
          <t>C0246</t>
        </is>
      </c>
      <c r="I310" t="inlineStr">
        <is>
          <t>C02462B</t>
        </is>
      </c>
      <c r="J310" t="inlineStr">
        <is>
          <t>HELICOPTER SUPPORT TEAM (HST) KIT</t>
        </is>
      </c>
      <c r="K310" t="inlineStr">
        <is>
          <t>PL</t>
        </is>
      </c>
      <c r="L310" t="inlineStr"/>
      <c r="M310" t="inlineStr">
        <is>
          <t>N</t>
        </is>
      </c>
      <c r="N310" t="n">
        <v>0</v>
      </c>
      <c r="O310" t="n">
        <v>1</v>
      </c>
      <c r="P310" t="n">
        <v>1</v>
      </c>
    </row>
    <row r="311">
      <c r="B311" t="n">
        <v>307</v>
      </c>
      <c r="C311" t="inlineStr">
        <is>
          <t>44112</t>
        </is>
      </c>
      <c r="D311" t="inlineStr">
        <is>
          <t>44112</t>
        </is>
      </c>
      <c r="G311" t="inlineStr">
        <is>
          <t>M29112</t>
        </is>
      </c>
      <c r="H311" t="inlineStr">
        <is>
          <t>C0247</t>
        </is>
      </c>
      <c r="I311" t="inlineStr">
        <is>
          <t>C02472Z</t>
        </is>
      </c>
      <c r="J311" t="inlineStr">
        <is>
          <t>JOINT SERVICE GENERAL PURPOSE MASK, FIELD (M50) - M50</t>
        </is>
      </c>
      <c r="K311" t="inlineStr">
        <is>
          <t>PL</t>
        </is>
      </c>
      <c r="L311" t="inlineStr"/>
      <c r="M311" t="inlineStr">
        <is>
          <t>N</t>
        </is>
      </c>
      <c r="N311" t="n">
        <v>58</v>
      </c>
      <c r="O311" t="n">
        <v>0</v>
      </c>
      <c r="P311" t="n">
        <v>58</v>
      </c>
    </row>
    <row r="312">
      <c r="B312" t="n">
        <v>308</v>
      </c>
      <c r="C312" t="inlineStr">
        <is>
          <t>44112</t>
        </is>
      </c>
      <c r="D312" t="inlineStr">
        <is>
          <t>44112</t>
        </is>
      </c>
      <c r="G312" t="inlineStr">
        <is>
          <t>M29112</t>
        </is>
      </c>
      <c r="H312" t="inlineStr">
        <is>
          <t>C0260</t>
        </is>
      </c>
      <c r="I312" t="inlineStr">
        <is>
          <t>C02602F</t>
        </is>
      </c>
      <c r="J312" t="inlineStr">
        <is>
          <t>GAITER,NECK - A-A-55247</t>
        </is>
      </c>
      <c r="K312" t="inlineStr">
        <is>
          <t>IS</t>
        </is>
      </c>
      <c r="L312" t="inlineStr">
        <is>
          <t>EA</t>
        </is>
      </c>
      <c r="M312" t="inlineStr">
        <is>
          <t>N</t>
        </is>
      </c>
      <c r="N312" t="n">
        <v>58</v>
      </c>
      <c r="O312" t="n">
        <v>0</v>
      </c>
      <c r="P312" t="n">
        <v>58</v>
      </c>
    </row>
    <row r="313">
      <c r="B313" t="n">
        <v>309</v>
      </c>
      <c r="C313" t="inlineStr">
        <is>
          <t>44112</t>
        </is>
      </c>
      <c r="D313" t="inlineStr">
        <is>
          <t>44112</t>
        </is>
      </c>
      <c r="G313" t="inlineStr">
        <is>
          <t>M29112</t>
        </is>
      </c>
      <c r="H313" t="inlineStr">
        <is>
          <t>C1023</t>
        </is>
      </c>
      <c r="I313" t="inlineStr">
        <is>
          <t>C10232F</t>
        </is>
      </c>
      <c r="J313" t="inlineStr">
        <is>
          <t>HOOD,COMBAT VEHICLE - MIL-H-44265</t>
        </is>
      </c>
      <c r="K313" t="inlineStr">
        <is>
          <t>IS</t>
        </is>
      </c>
      <c r="L313" t="inlineStr"/>
      <c r="M313" t="inlineStr">
        <is>
          <t>N</t>
        </is>
      </c>
      <c r="N313" t="n">
        <v>0</v>
      </c>
      <c r="O313" t="n">
        <v>2</v>
      </c>
      <c r="P313" t="n">
        <v>2</v>
      </c>
    </row>
    <row r="314">
      <c r="B314" t="n">
        <v>310</v>
      </c>
      <c r="C314" t="inlineStr">
        <is>
          <t>44112</t>
        </is>
      </c>
      <c r="D314" t="inlineStr">
        <is>
          <t>44112</t>
        </is>
      </c>
      <c r="G314" t="inlineStr">
        <is>
          <t>M29112</t>
        </is>
      </c>
      <c r="H314" t="inlineStr">
        <is>
          <t>C1055</t>
        </is>
      </c>
      <c r="I314" t="inlineStr">
        <is>
          <t>C10552F</t>
        </is>
      </c>
      <c r="J314" t="inlineStr">
        <is>
          <t>CAP,COLD WEATHER - CR/PD01-09</t>
        </is>
      </c>
      <c r="K314" t="inlineStr">
        <is>
          <t>IS</t>
        </is>
      </c>
      <c r="L314" t="inlineStr">
        <is>
          <t>EA</t>
        </is>
      </c>
      <c r="M314" t="inlineStr">
        <is>
          <t>N</t>
        </is>
      </c>
      <c r="N314" t="n">
        <v>58</v>
      </c>
      <c r="O314" t="n">
        <v>0</v>
      </c>
      <c r="P314" t="n">
        <v>58</v>
      </c>
    </row>
    <row r="315">
      <c r="B315" t="n">
        <v>311</v>
      </c>
      <c r="C315" t="inlineStr">
        <is>
          <t>44112</t>
        </is>
      </c>
      <c r="D315" t="inlineStr">
        <is>
          <t>44112</t>
        </is>
      </c>
      <c r="G315" t="inlineStr">
        <is>
          <t>M29112</t>
        </is>
      </c>
      <c r="H315" t="inlineStr">
        <is>
          <t>C1107</t>
        </is>
      </c>
      <c r="I315" t="inlineStr">
        <is>
          <t>C11072F</t>
        </is>
      </c>
      <c r="J315" t="inlineStr">
        <is>
          <t>GLOVES,MEN'S AND WO - SIZE 3</t>
        </is>
      </c>
      <c r="K315" t="inlineStr">
        <is>
          <t>IS</t>
        </is>
      </c>
      <c r="L315" t="inlineStr">
        <is>
          <t>PR</t>
        </is>
      </c>
      <c r="M315" t="inlineStr">
        <is>
          <t>N</t>
        </is>
      </c>
      <c r="N315" t="n">
        <v>58</v>
      </c>
      <c r="O315" t="n">
        <v>0</v>
      </c>
      <c r="P315" t="n">
        <v>58</v>
      </c>
    </row>
    <row r="316">
      <c r="B316" t="n">
        <v>312</v>
      </c>
      <c r="C316" t="inlineStr">
        <is>
          <t>44112</t>
        </is>
      </c>
      <c r="D316" t="inlineStr">
        <is>
          <t>44112</t>
        </is>
      </c>
      <c r="G316" t="inlineStr">
        <is>
          <t>M29112</t>
        </is>
      </c>
      <c r="H316" t="inlineStr">
        <is>
          <t>C1120</t>
        </is>
      </c>
      <c r="I316" t="inlineStr">
        <is>
          <t>C11202F</t>
        </is>
      </c>
      <c r="J316" t="inlineStr">
        <is>
          <t>GLOVE INSERTS,COLD - 70113</t>
        </is>
      </c>
      <c r="K316" t="inlineStr">
        <is>
          <t>IS</t>
        </is>
      </c>
      <c r="L316" t="inlineStr">
        <is>
          <t>PR</t>
        </is>
      </c>
      <c r="M316" t="inlineStr">
        <is>
          <t>N</t>
        </is>
      </c>
      <c r="N316" t="n">
        <v>116</v>
      </c>
      <c r="O316" t="n">
        <v>0</v>
      </c>
      <c r="P316" t="n">
        <v>116</v>
      </c>
    </row>
    <row r="317">
      <c r="B317" t="n">
        <v>313</v>
      </c>
      <c r="C317" t="inlineStr">
        <is>
          <t>44112</t>
        </is>
      </c>
      <c r="D317" t="inlineStr">
        <is>
          <t>44112</t>
        </is>
      </c>
      <c r="G317" t="inlineStr">
        <is>
          <t>M29112</t>
        </is>
      </c>
      <c r="H317" t="inlineStr">
        <is>
          <t>C2130</t>
        </is>
      </c>
      <c r="I317" t="inlineStr">
        <is>
          <t>C21302F</t>
        </is>
      </c>
      <c r="J317" t="inlineStr">
        <is>
          <t>OVERSHOES,NUCLEAR,B - MALO</t>
        </is>
      </c>
      <c r="K317" t="inlineStr">
        <is>
          <t>IS</t>
        </is>
      </c>
      <c r="L317" t="inlineStr">
        <is>
          <t>PR</t>
        </is>
      </c>
      <c r="M317" t="inlineStr">
        <is>
          <t>N</t>
        </is>
      </c>
      <c r="N317" t="n">
        <v>116</v>
      </c>
      <c r="O317" t="n">
        <v>0</v>
      </c>
      <c r="P317" t="n">
        <v>116</v>
      </c>
    </row>
    <row r="318">
      <c r="B318" t="n">
        <v>314</v>
      </c>
      <c r="C318" t="inlineStr">
        <is>
          <t>44112</t>
        </is>
      </c>
      <c r="D318" t="inlineStr">
        <is>
          <t>44112</t>
        </is>
      </c>
      <c r="G318" t="inlineStr">
        <is>
          <t>M29112</t>
        </is>
      </c>
      <c r="H318" t="inlineStr">
        <is>
          <t>C2150</t>
        </is>
      </c>
      <c r="I318" t="inlineStr">
        <is>
          <t>C21502F</t>
        </is>
      </c>
      <c r="J318" t="inlineStr">
        <is>
          <t>GLOVE INSERTS,NUCLE - DSSPM330-01</t>
        </is>
      </c>
      <c r="K318" t="inlineStr">
        <is>
          <t>IS</t>
        </is>
      </c>
      <c r="L318" t="inlineStr">
        <is>
          <t>PR</t>
        </is>
      </c>
      <c r="M318" t="inlineStr">
        <is>
          <t>N</t>
        </is>
      </c>
      <c r="N318" t="n">
        <v>116</v>
      </c>
      <c r="O318" t="n">
        <v>0</v>
      </c>
      <c r="P318" t="n">
        <v>116</v>
      </c>
    </row>
    <row r="319">
      <c r="B319" t="n">
        <v>315</v>
      </c>
      <c r="C319" t="inlineStr">
        <is>
          <t>44112</t>
        </is>
      </c>
      <c r="D319" t="inlineStr">
        <is>
          <t>44112</t>
        </is>
      </c>
      <c r="G319" t="inlineStr">
        <is>
          <t>M29112</t>
        </is>
      </c>
      <c r="H319" t="inlineStr">
        <is>
          <t>C2170</t>
        </is>
      </c>
      <c r="I319" t="inlineStr">
        <is>
          <t>C21702E</t>
        </is>
      </c>
      <c r="J319" t="inlineStr">
        <is>
          <t>SPECTACLES,INDUSTRI</t>
        </is>
      </c>
      <c r="K319" t="inlineStr">
        <is>
          <t>IS</t>
        </is>
      </c>
      <c r="L319" t="inlineStr">
        <is>
          <t>EA</t>
        </is>
      </c>
      <c r="M319" t="inlineStr">
        <is>
          <t>N</t>
        </is>
      </c>
      <c r="N319" t="n">
        <v>58</v>
      </c>
      <c r="O319" t="n">
        <v>0</v>
      </c>
      <c r="P319" t="n">
        <v>58</v>
      </c>
    </row>
    <row r="320">
      <c r="B320" t="n">
        <v>316</v>
      </c>
      <c r="C320" t="inlineStr">
        <is>
          <t>44112</t>
        </is>
      </c>
      <c r="D320" t="inlineStr">
        <is>
          <t>44112</t>
        </is>
      </c>
      <c r="G320" t="inlineStr">
        <is>
          <t>M29112</t>
        </is>
      </c>
      <c r="H320" t="inlineStr">
        <is>
          <t>C2171</t>
        </is>
      </c>
      <c r="I320" t="inlineStr">
        <is>
          <t>C21712E</t>
        </is>
      </c>
      <c r="J320" t="inlineStr">
        <is>
          <t>GOGGLES,INDUSTRIAL - INFLUX</t>
        </is>
      </c>
      <c r="K320" t="inlineStr">
        <is>
          <t>IS</t>
        </is>
      </c>
      <c r="L320" t="inlineStr">
        <is>
          <t>EA</t>
        </is>
      </c>
      <c r="M320" t="inlineStr">
        <is>
          <t>N</t>
        </is>
      </c>
      <c r="N320" t="n">
        <v>58</v>
      </c>
      <c r="O320" t="n">
        <v>0</v>
      </c>
      <c r="P320" t="n">
        <v>58</v>
      </c>
    </row>
    <row r="321">
      <c r="B321" t="n">
        <v>317</v>
      </c>
      <c r="C321" t="inlineStr">
        <is>
          <t>44112</t>
        </is>
      </c>
      <c r="D321" t="inlineStr">
        <is>
          <t>44112</t>
        </is>
      </c>
      <c r="G321" t="inlineStr">
        <is>
          <t>M29112</t>
        </is>
      </c>
      <c r="H321" t="inlineStr">
        <is>
          <t>C2200</t>
        </is>
      </c>
      <c r="I321" t="inlineStr">
        <is>
          <t>C22002E</t>
        </is>
      </c>
      <c r="J321" t="inlineStr">
        <is>
          <t>REACTIVE SKIN DECON - JSPDS/RSDL</t>
        </is>
      </c>
      <c r="K321" t="inlineStr">
        <is>
          <t>IS</t>
        </is>
      </c>
      <c r="L321" t="inlineStr">
        <is>
          <t>PG</t>
        </is>
      </c>
      <c r="M321" t="inlineStr">
        <is>
          <t>N</t>
        </is>
      </c>
      <c r="N321" t="n">
        <v>3</v>
      </c>
      <c r="O321" t="n">
        <v>0</v>
      </c>
      <c r="P321" t="n">
        <v>3</v>
      </c>
    </row>
    <row r="322">
      <c r="B322" t="n">
        <v>318</v>
      </c>
      <c r="C322" t="inlineStr">
        <is>
          <t>44112</t>
        </is>
      </c>
      <c r="D322" t="inlineStr">
        <is>
          <t>44112</t>
        </is>
      </c>
      <c r="G322" t="inlineStr">
        <is>
          <t>M29112</t>
        </is>
      </c>
      <c r="H322" t="inlineStr">
        <is>
          <t>C3020</t>
        </is>
      </c>
      <c r="I322" t="inlineStr">
        <is>
          <t>C30202E</t>
        </is>
      </c>
      <c r="J322" t="inlineStr">
        <is>
          <t>INSERTS,ENHANCED SM -  CO/PD 04-10</t>
        </is>
      </c>
      <c r="K322" t="inlineStr">
        <is>
          <t>IS</t>
        </is>
      </c>
      <c r="L322" t="inlineStr">
        <is>
          <t>EA</t>
        </is>
      </c>
      <c r="M322" t="inlineStr">
        <is>
          <t>N</t>
        </is>
      </c>
      <c r="N322" t="n">
        <v>116</v>
      </c>
      <c r="O322" t="n">
        <v>0</v>
      </c>
      <c r="P322" t="n">
        <v>116</v>
      </c>
    </row>
    <row r="323">
      <c r="B323" t="n">
        <v>319</v>
      </c>
      <c r="C323" t="inlineStr">
        <is>
          <t>44112</t>
        </is>
      </c>
      <c r="D323" t="inlineStr">
        <is>
          <t>44112</t>
        </is>
      </c>
      <c r="G323" t="inlineStr">
        <is>
          <t>M29112</t>
        </is>
      </c>
      <c r="H323" t="inlineStr">
        <is>
          <t>C3060</t>
        </is>
      </c>
      <c r="I323" t="inlineStr">
        <is>
          <t>C30602E</t>
        </is>
      </c>
      <c r="J323" t="inlineStr">
        <is>
          <t>CANTEEN,WATER - MIL-C-43103</t>
        </is>
      </c>
      <c r="K323" t="inlineStr">
        <is>
          <t>IS</t>
        </is>
      </c>
      <c r="L323" t="inlineStr">
        <is>
          <t>EA</t>
        </is>
      </c>
      <c r="M323" t="inlineStr">
        <is>
          <t>N</t>
        </is>
      </c>
      <c r="N323" t="n">
        <v>116</v>
      </c>
      <c r="O323" t="n">
        <v>0</v>
      </c>
      <c r="P323" t="n">
        <v>116</v>
      </c>
    </row>
    <row r="324">
      <c r="B324" t="n">
        <v>320</v>
      </c>
      <c r="C324" t="inlineStr">
        <is>
          <t>44112</t>
        </is>
      </c>
      <c r="D324" t="inlineStr">
        <is>
          <t>44112</t>
        </is>
      </c>
      <c r="G324" t="inlineStr">
        <is>
          <t>M29112</t>
        </is>
      </c>
      <c r="H324" t="inlineStr">
        <is>
          <t>C3070</t>
        </is>
      </c>
      <c r="I324" t="inlineStr">
        <is>
          <t>C30702E</t>
        </is>
      </c>
      <c r="J324" t="inlineStr">
        <is>
          <t>CARRIER,INTRENCHING - 390-04A</t>
        </is>
      </c>
      <c r="K324" t="inlineStr">
        <is>
          <t>IS</t>
        </is>
      </c>
      <c r="L324" t="inlineStr">
        <is>
          <t>EA</t>
        </is>
      </c>
      <c r="M324" t="inlineStr">
        <is>
          <t>N</t>
        </is>
      </c>
      <c r="N324" t="n">
        <v>58</v>
      </c>
      <c r="O324" t="n">
        <v>0</v>
      </c>
      <c r="P324" t="n">
        <v>58</v>
      </c>
    </row>
    <row r="325">
      <c r="B325" t="n">
        <v>321</v>
      </c>
      <c r="C325" t="inlineStr">
        <is>
          <t>44112</t>
        </is>
      </c>
      <c r="D325" t="inlineStr">
        <is>
          <t>44112</t>
        </is>
      </c>
      <c r="G325" t="inlineStr">
        <is>
          <t>M29112</t>
        </is>
      </c>
      <c r="H325" t="inlineStr">
        <is>
          <t>C3124</t>
        </is>
      </c>
      <c r="I325" t="inlineStr">
        <is>
          <t>C31242F</t>
        </is>
      </c>
      <c r="J325" t="inlineStr">
        <is>
          <t>COVER,HELMET - N/A</t>
        </is>
      </c>
      <c r="K325" t="inlineStr">
        <is>
          <t>IS</t>
        </is>
      </c>
      <c r="L325" t="inlineStr">
        <is>
          <t>EA</t>
        </is>
      </c>
      <c r="M325" t="inlineStr">
        <is>
          <t>N</t>
        </is>
      </c>
      <c r="N325" t="n">
        <v>52</v>
      </c>
      <c r="O325" t="n">
        <v>0</v>
      </c>
      <c r="P325" t="n">
        <v>52</v>
      </c>
    </row>
    <row r="326">
      <c r="B326" t="n">
        <v>322</v>
      </c>
      <c r="C326" t="inlineStr">
        <is>
          <t>44112</t>
        </is>
      </c>
      <c r="D326" t="inlineStr">
        <is>
          <t>44112</t>
        </is>
      </c>
      <c r="G326" t="inlineStr">
        <is>
          <t>M29112</t>
        </is>
      </c>
      <c r="H326" t="inlineStr">
        <is>
          <t>C3140</t>
        </is>
      </c>
      <c r="I326" t="inlineStr">
        <is>
          <t>C31402E</t>
        </is>
      </c>
      <c r="J326" t="inlineStr">
        <is>
          <t>CUP,WATER CANTEEN - MIL-C-73761</t>
        </is>
      </c>
      <c r="K326" t="inlineStr">
        <is>
          <t>IS</t>
        </is>
      </c>
      <c r="L326" t="inlineStr">
        <is>
          <t>EA</t>
        </is>
      </c>
      <c r="M326" t="inlineStr">
        <is>
          <t>N</t>
        </is>
      </c>
      <c r="N326" t="n">
        <v>58</v>
      </c>
      <c r="O326" t="n">
        <v>0</v>
      </c>
      <c r="P326" t="n">
        <v>58</v>
      </c>
    </row>
    <row r="327">
      <c r="B327" t="n">
        <v>323</v>
      </c>
      <c r="C327" t="inlineStr">
        <is>
          <t>44112</t>
        </is>
      </c>
      <c r="D327" t="inlineStr">
        <is>
          <t>44112</t>
        </is>
      </c>
      <c r="G327" t="inlineStr">
        <is>
          <t>M29112</t>
        </is>
      </c>
      <c r="H327" t="inlineStr">
        <is>
          <t>C3150</t>
        </is>
      </c>
      <c r="I327" t="inlineStr">
        <is>
          <t>C31502F</t>
        </is>
      </c>
      <c r="J327" t="inlineStr">
        <is>
          <t>FIRST AID KIT,INDIV - 1IFAK</t>
        </is>
      </c>
      <c r="K327" t="inlineStr">
        <is>
          <t>IS</t>
        </is>
      </c>
      <c r="L327" t="inlineStr">
        <is>
          <t>KT</t>
        </is>
      </c>
      <c r="M327" t="inlineStr">
        <is>
          <t>N</t>
        </is>
      </c>
      <c r="N327" t="n">
        <v>0</v>
      </c>
      <c r="O327" t="n">
        <v>63</v>
      </c>
      <c r="P327" t="n">
        <v>63</v>
      </c>
    </row>
    <row r="328">
      <c r="B328" t="n">
        <v>324</v>
      </c>
      <c r="C328" t="inlineStr">
        <is>
          <t>44112</t>
        </is>
      </c>
      <c r="D328" t="inlineStr">
        <is>
          <t>44112</t>
        </is>
      </c>
      <c r="G328" t="inlineStr">
        <is>
          <t>M29112</t>
        </is>
      </c>
      <c r="H328" t="inlineStr">
        <is>
          <t>C3215</t>
        </is>
      </c>
      <c r="I328" t="inlineStr">
        <is>
          <t>C32152E</t>
        </is>
      </c>
      <c r="J328" t="inlineStr">
        <is>
          <t>HELMET,GROUND TROOP - A12769</t>
        </is>
      </c>
      <c r="K328" t="inlineStr">
        <is>
          <t>IS</t>
        </is>
      </c>
      <c r="L328" t="inlineStr">
        <is>
          <t>EA</t>
        </is>
      </c>
      <c r="M328" t="inlineStr">
        <is>
          <t>N</t>
        </is>
      </c>
      <c r="N328" t="n">
        <v>52</v>
      </c>
      <c r="O328" t="n">
        <v>0</v>
      </c>
      <c r="P328" t="n">
        <v>52</v>
      </c>
    </row>
    <row r="329">
      <c r="B329" t="n">
        <v>325</v>
      </c>
      <c r="C329" t="inlineStr">
        <is>
          <t>44112</t>
        </is>
      </c>
      <c r="D329" t="inlineStr">
        <is>
          <t>44112</t>
        </is>
      </c>
      <c r="G329" t="inlineStr">
        <is>
          <t>M29112</t>
        </is>
      </c>
      <c r="H329" t="inlineStr">
        <is>
          <t>C3230</t>
        </is>
      </c>
      <c r="I329" t="inlineStr">
        <is>
          <t>C32302E</t>
        </is>
      </c>
      <c r="J329" t="inlineStr">
        <is>
          <t>INTRENCHING TOOL,HA - 05940</t>
        </is>
      </c>
      <c r="K329" t="inlineStr">
        <is>
          <t>IS</t>
        </is>
      </c>
      <c r="L329" t="inlineStr">
        <is>
          <t>EA</t>
        </is>
      </c>
      <c r="M329" t="inlineStr">
        <is>
          <t>N</t>
        </is>
      </c>
      <c r="N329" t="n">
        <v>58</v>
      </c>
      <c r="O329" t="n">
        <v>0</v>
      </c>
      <c r="P329" t="n">
        <v>58</v>
      </c>
    </row>
    <row r="330">
      <c r="B330" t="n">
        <v>326</v>
      </c>
      <c r="C330" t="inlineStr">
        <is>
          <t>44112</t>
        </is>
      </c>
      <c r="D330" t="inlineStr">
        <is>
          <t>44112</t>
        </is>
      </c>
      <c r="G330" t="inlineStr">
        <is>
          <t>M29112</t>
        </is>
      </c>
      <c r="H330" t="inlineStr">
        <is>
          <t>C3250</t>
        </is>
      </c>
      <c r="I330" t="inlineStr">
        <is>
          <t>C32502E</t>
        </is>
      </c>
      <c r="J330" t="inlineStr">
        <is>
          <t>KNIFE,COMBAT - MIL-K-20277</t>
        </is>
      </c>
      <c r="K330" t="inlineStr">
        <is>
          <t>IS</t>
        </is>
      </c>
      <c r="L330" t="inlineStr">
        <is>
          <t>EA</t>
        </is>
      </c>
      <c r="M330" t="inlineStr">
        <is>
          <t>N</t>
        </is>
      </c>
      <c r="N330" t="n">
        <v>0</v>
      </c>
      <c r="O330" t="n">
        <v>2</v>
      </c>
      <c r="P330" t="n">
        <v>2</v>
      </c>
    </row>
    <row r="331">
      <c r="B331" t="n">
        <v>327</v>
      </c>
      <c r="C331" t="inlineStr">
        <is>
          <t>44112</t>
        </is>
      </c>
      <c r="D331" t="inlineStr">
        <is>
          <t>44112</t>
        </is>
      </c>
      <c r="G331" t="inlineStr">
        <is>
          <t>M29112</t>
        </is>
      </c>
      <c r="H331" t="inlineStr">
        <is>
          <t>C3400</t>
        </is>
      </c>
      <c r="I331" t="inlineStr">
        <is>
          <t>C34002F</t>
        </is>
      </c>
      <c r="J331" t="inlineStr">
        <is>
          <t>TARPAULIN - 8405-00-NSH-00</t>
        </is>
      </c>
      <c r="K331" t="inlineStr">
        <is>
          <t>IS</t>
        </is>
      </c>
      <c r="L331" t="inlineStr">
        <is>
          <t>EA</t>
        </is>
      </c>
      <c r="M331" t="inlineStr">
        <is>
          <t>N</t>
        </is>
      </c>
      <c r="N331" t="n">
        <v>58</v>
      </c>
      <c r="O331" t="n">
        <v>0</v>
      </c>
      <c r="P331" t="n">
        <v>58</v>
      </c>
    </row>
    <row r="332">
      <c r="B332" t="n">
        <v>328</v>
      </c>
      <c r="C332" t="inlineStr">
        <is>
          <t>44112</t>
        </is>
      </c>
      <c r="D332" t="inlineStr">
        <is>
          <t>44112</t>
        </is>
      </c>
      <c r="G332" t="inlineStr">
        <is>
          <t>M29112</t>
        </is>
      </c>
      <c r="H332" t="inlineStr">
        <is>
          <t>C3414</t>
        </is>
      </c>
      <c r="I332" t="inlineStr">
        <is>
          <t>C34142E</t>
        </is>
      </c>
      <c r="J332" t="inlineStr">
        <is>
          <t>TENT,COMBAT,TWO MAN - 2628916</t>
        </is>
      </c>
      <c r="K332" t="inlineStr">
        <is>
          <t>IS</t>
        </is>
      </c>
      <c r="L332" t="inlineStr">
        <is>
          <t>EA</t>
        </is>
      </c>
      <c r="M332" t="inlineStr">
        <is>
          <t>N</t>
        </is>
      </c>
      <c r="N332" t="n">
        <v>29</v>
      </c>
      <c r="O332" t="n">
        <v>0</v>
      </c>
      <c r="P332" t="n">
        <v>29</v>
      </c>
    </row>
    <row r="333">
      <c r="B333" t="n">
        <v>329</v>
      </c>
      <c r="C333" t="inlineStr">
        <is>
          <t>44112</t>
        </is>
      </c>
      <c r="D333" t="inlineStr">
        <is>
          <t>44112</t>
        </is>
      </c>
      <c r="G333" t="inlineStr">
        <is>
          <t>M29112</t>
        </is>
      </c>
      <c r="H333" t="inlineStr">
        <is>
          <t>C3421</t>
        </is>
      </c>
      <c r="I333" t="inlineStr">
        <is>
          <t>C34212F</t>
        </is>
      </c>
      <c r="J333" t="inlineStr">
        <is>
          <t>MODULAR SLEEP SYSTE - W91AZKLG</t>
        </is>
      </c>
      <c r="K333" t="inlineStr">
        <is>
          <t>IS</t>
        </is>
      </c>
      <c r="L333" t="inlineStr">
        <is>
          <t>EA</t>
        </is>
      </c>
      <c r="M333" t="inlineStr">
        <is>
          <t>N</t>
        </is>
      </c>
      <c r="N333" t="n">
        <v>58</v>
      </c>
      <c r="O333" t="n">
        <v>0</v>
      </c>
      <c r="P333" t="n">
        <v>58</v>
      </c>
    </row>
    <row r="334">
      <c r="B334" t="n">
        <v>330</v>
      </c>
      <c r="C334" t="inlineStr">
        <is>
          <t>44112</t>
        </is>
      </c>
      <c r="D334" t="inlineStr">
        <is>
          <t>44112</t>
        </is>
      </c>
      <c r="G334" t="inlineStr">
        <is>
          <t>M29112</t>
        </is>
      </c>
      <c r="H334" t="inlineStr">
        <is>
          <t>C3423</t>
        </is>
      </c>
      <c r="I334" t="inlineStr">
        <is>
          <t>C34232E</t>
        </is>
      </c>
      <c r="J334" t="inlineStr">
        <is>
          <t>STAND,CANTEEN CUP - MIL-S-44221</t>
        </is>
      </c>
      <c r="K334" t="inlineStr">
        <is>
          <t>IS</t>
        </is>
      </c>
      <c r="L334" t="inlineStr">
        <is>
          <t>EA</t>
        </is>
      </c>
      <c r="M334" t="inlineStr">
        <is>
          <t>N</t>
        </is>
      </c>
      <c r="N334" t="n">
        <v>58</v>
      </c>
      <c r="O334" t="n">
        <v>0</v>
      </c>
      <c r="P334" t="n">
        <v>58</v>
      </c>
    </row>
    <row r="335">
      <c r="B335" t="n">
        <v>331</v>
      </c>
      <c r="C335" t="inlineStr">
        <is>
          <t>44112</t>
        </is>
      </c>
      <c r="D335" t="inlineStr">
        <is>
          <t>44112</t>
        </is>
      </c>
      <c r="G335" t="inlineStr">
        <is>
          <t>M29112</t>
        </is>
      </c>
      <c r="H335" t="inlineStr">
        <is>
          <t>C4433</t>
        </is>
      </c>
      <c r="I335" t="inlineStr">
        <is>
          <t>C44332E</t>
        </is>
      </c>
      <c r="J335" t="inlineStr">
        <is>
          <t>SHIPPING AND STORAG - SB812M</t>
        </is>
      </c>
      <c r="K335" t="inlineStr">
        <is>
          <t>IS</t>
        </is>
      </c>
      <c r="L335" t="inlineStr">
        <is>
          <t>EA</t>
        </is>
      </c>
      <c r="M335" t="inlineStr">
        <is>
          <t>N</t>
        </is>
      </c>
      <c r="N335" t="n">
        <v>0</v>
      </c>
      <c r="O335" t="n">
        <v>6</v>
      </c>
      <c r="P335" t="n">
        <v>6</v>
      </c>
    </row>
    <row r="336">
      <c r="B336" t="n">
        <v>332</v>
      </c>
      <c r="C336" t="inlineStr">
        <is>
          <t>44112</t>
        </is>
      </c>
      <c r="D336" t="inlineStr">
        <is>
          <t>44112</t>
        </is>
      </c>
      <c r="G336" t="inlineStr">
        <is>
          <t>M29112</t>
        </is>
      </c>
      <c r="H336" t="inlineStr">
        <is>
          <t>C4546</t>
        </is>
      </c>
      <c r="I336" t="inlineStr">
        <is>
          <t>C45462E</t>
        </is>
      </c>
      <c r="J336" t="inlineStr">
        <is>
          <t>DISPENSER,LIQUID,IN - 7505</t>
        </is>
      </c>
      <c r="K336" t="inlineStr">
        <is>
          <t>IS</t>
        </is>
      </c>
      <c r="L336" t="inlineStr">
        <is>
          <t>EA</t>
        </is>
      </c>
      <c r="M336" t="inlineStr">
        <is>
          <t>N</t>
        </is>
      </c>
      <c r="N336" t="n">
        <v>0</v>
      </c>
      <c r="O336" t="n">
        <v>3</v>
      </c>
      <c r="P336" t="n">
        <v>3</v>
      </c>
    </row>
    <row r="337">
      <c r="B337" t="n">
        <v>333</v>
      </c>
      <c r="C337" t="inlineStr">
        <is>
          <t>44112</t>
        </is>
      </c>
      <c r="D337" t="inlineStr">
        <is>
          <t>44112</t>
        </is>
      </c>
      <c r="G337" t="inlineStr">
        <is>
          <t>M29112</t>
        </is>
      </c>
      <c r="H337" t="inlineStr">
        <is>
          <t>C4880</t>
        </is>
      </c>
      <c r="I337" t="inlineStr">
        <is>
          <t>C48802E</t>
        </is>
      </c>
      <c r="J337" t="inlineStr">
        <is>
          <t>FOOD TRANSPORTER,IN - A-A-52193</t>
        </is>
      </c>
      <c r="K337" t="inlineStr">
        <is>
          <t>IS</t>
        </is>
      </c>
      <c r="L337" t="inlineStr">
        <is>
          <t>EA</t>
        </is>
      </c>
      <c r="M337" t="inlineStr">
        <is>
          <t>N</t>
        </is>
      </c>
      <c r="N337" t="n">
        <v>0</v>
      </c>
      <c r="O337" t="n">
        <v>3</v>
      </c>
      <c r="P337" t="n">
        <v>3</v>
      </c>
    </row>
    <row r="338">
      <c r="B338" t="n">
        <v>334</v>
      </c>
      <c r="C338" t="inlineStr">
        <is>
          <t>44112</t>
        </is>
      </c>
      <c r="D338" t="inlineStr">
        <is>
          <t>44112</t>
        </is>
      </c>
      <c r="G338" t="inlineStr">
        <is>
          <t>M29112</t>
        </is>
      </c>
      <c r="H338" t="inlineStr">
        <is>
          <t>C5265</t>
        </is>
      </c>
      <c r="I338" t="inlineStr">
        <is>
          <t>C52652E</t>
        </is>
      </c>
      <c r="J338" t="inlineStr">
        <is>
          <t>MASK SYSTEM,CHEMICA - M50</t>
        </is>
      </c>
      <c r="K338" t="inlineStr">
        <is>
          <t>IS</t>
        </is>
      </c>
      <c r="L338" t="inlineStr">
        <is>
          <t>EA</t>
        </is>
      </c>
      <c r="M338" t="inlineStr">
        <is>
          <t>N</t>
        </is>
      </c>
      <c r="N338" t="n">
        <v>58</v>
      </c>
      <c r="O338" t="n">
        <v>0</v>
      </c>
      <c r="P338" t="n">
        <v>58</v>
      </c>
    </row>
    <row r="339">
      <c r="B339" t="n">
        <v>335</v>
      </c>
      <c r="C339" t="inlineStr">
        <is>
          <t>44112</t>
        </is>
      </c>
      <c r="D339" t="inlineStr">
        <is>
          <t>44112</t>
        </is>
      </c>
      <c r="G339" t="inlineStr">
        <is>
          <t>M29112</t>
        </is>
      </c>
      <c r="H339" t="inlineStr">
        <is>
          <t>C5440</t>
        </is>
      </c>
      <c r="I339" t="inlineStr">
        <is>
          <t>C54402F</t>
        </is>
      </c>
      <c r="J339" t="inlineStr">
        <is>
          <t>FIELD PACK - F190186393</t>
        </is>
      </c>
      <c r="K339" t="inlineStr">
        <is>
          <t>IS</t>
        </is>
      </c>
      <c r="L339" t="inlineStr">
        <is>
          <t>EA</t>
        </is>
      </c>
      <c r="M339" t="inlineStr">
        <is>
          <t>N</t>
        </is>
      </c>
      <c r="N339" t="n">
        <v>58</v>
      </c>
      <c r="O339" t="n">
        <v>0</v>
      </c>
      <c r="P339" t="n">
        <v>58</v>
      </c>
    </row>
    <row r="340">
      <c r="B340" t="n">
        <v>336</v>
      </c>
      <c r="C340" t="inlineStr">
        <is>
          <t>44112</t>
        </is>
      </c>
      <c r="D340" t="inlineStr">
        <is>
          <t>44112</t>
        </is>
      </c>
      <c r="G340" t="inlineStr">
        <is>
          <t>M29112</t>
        </is>
      </c>
      <c r="H340" t="inlineStr">
        <is>
          <t>C5652</t>
        </is>
      </c>
      <c r="I340" t="inlineStr">
        <is>
          <t>C56522F</t>
        </is>
      </c>
      <c r="J340" t="inlineStr">
        <is>
          <t>No Item Name Availa - APECS 3RD GEN</t>
        </is>
      </c>
      <c r="K340" t="inlineStr">
        <is>
          <t>IS</t>
        </is>
      </c>
      <c r="L340" t="inlineStr"/>
      <c r="M340" t="inlineStr">
        <is>
          <t>N</t>
        </is>
      </c>
      <c r="N340" t="n">
        <v>58</v>
      </c>
      <c r="O340" t="n">
        <v>0</v>
      </c>
      <c r="P340" t="n">
        <v>58</v>
      </c>
    </row>
    <row r="341">
      <c r="B341" t="n">
        <v>337</v>
      </c>
      <c r="C341" t="inlineStr">
        <is>
          <t>44112</t>
        </is>
      </c>
      <c r="D341" t="inlineStr">
        <is>
          <t>44112</t>
        </is>
      </c>
      <c r="G341" t="inlineStr">
        <is>
          <t>M29112</t>
        </is>
      </c>
      <c r="H341" t="inlineStr">
        <is>
          <t>C6632</t>
        </is>
      </c>
      <c r="I341" t="inlineStr">
        <is>
          <t>C66322F</t>
        </is>
      </c>
      <c r="J341" t="inlineStr">
        <is>
          <t>No Item Name Availa - N/A</t>
        </is>
      </c>
      <c r="K341" t="inlineStr">
        <is>
          <t>IS</t>
        </is>
      </c>
      <c r="L341" t="inlineStr"/>
      <c r="M341" t="inlineStr">
        <is>
          <t>N</t>
        </is>
      </c>
      <c r="N341" t="n">
        <v>58</v>
      </c>
      <c r="O341" t="n">
        <v>0</v>
      </c>
      <c r="P341" t="n">
        <v>58</v>
      </c>
    </row>
    <row r="342">
      <c r="B342" t="n">
        <v>338</v>
      </c>
      <c r="C342" t="inlineStr">
        <is>
          <t>44112</t>
        </is>
      </c>
      <c r="D342" t="inlineStr">
        <is>
          <t>44112</t>
        </is>
      </c>
      <c r="G342" t="inlineStr">
        <is>
          <t>M29112</t>
        </is>
      </c>
      <c r="H342" t="inlineStr">
        <is>
          <t>C7905</t>
        </is>
      </c>
      <c r="I342" t="inlineStr">
        <is>
          <t>C79052B</t>
        </is>
      </c>
      <c r="J342" t="inlineStr">
        <is>
          <t>SHOP EGUIPMENT,GP N - 1CSLO-2220701</t>
        </is>
      </c>
      <c r="K342" t="inlineStr">
        <is>
          <t>IS</t>
        </is>
      </c>
      <c r="L342" t="inlineStr">
        <is>
          <t>EA</t>
        </is>
      </c>
      <c r="M342" t="inlineStr">
        <is>
          <t>N</t>
        </is>
      </c>
      <c r="N342" t="n">
        <v>0</v>
      </c>
      <c r="O342" t="n">
        <v>1</v>
      </c>
      <c r="P342" t="n">
        <v>1</v>
      </c>
    </row>
    <row r="343">
      <c r="B343" t="n">
        <v>339</v>
      </c>
      <c r="C343" t="inlineStr">
        <is>
          <t>44112</t>
        </is>
      </c>
      <c r="D343" t="inlineStr">
        <is>
          <t>44112</t>
        </is>
      </c>
      <c r="G343" t="inlineStr">
        <is>
          <t>M29112</t>
        </is>
      </c>
      <c r="H343" t="inlineStr">
        <is>
          <t>C7915</t>
        </is>
      </c>
      <c r="I343" t="inlineStr">
        <is>
          <t>C79152B</t>
        </is>
      </c>
      <c r="J343" t="inlineStr">
        <is>
          <t>TOOL KIT,GENERAL ME - DFP-627</t>
        </is>
      </c>
      <c r="K343" t="inlineStr">
        <is>
          <t>IS</t>
        </is>
      </c>
      <c r="L343" t="inlineStr">
        <is>
          <t>SE</t>
        </is>
      </c>
      <c r="M343" t="inlineStr">
        <is>
          <t>N</t>
        </is>
      </c>
      <c r="N343" t="n">
        <v>0</v>
      </c>
      <c r="O343" t="n">
        <v>2</v>
      </c>
      <c r="P343" t="n">
        <v>2</v>
      </c>
    </row>
    <row r="344">
      <c r="B344" t="n">
        <v>340</v>
      </c>
      <c r="C344" t="inlineStr">
        <is>
          <t>21710</t>
        </is>
      </c>
      <c r="D344" t="inlineStr">
        <is>
          <t>21710</t>
        </is>
      </c>
      <c r="G344" t="inlineStr">
        <is>
          <t>M29112</t>
        </is>
      </c>
      <c r="H344" t="inlineStr">
        <is>
          <t>D0003</t>
        </is>
      </c>
      <c r="I344" t="inlineStr">
        <is>
          <t>D00037K</t>
        </is>
      </c>
      <c r="J344" t="inlineStr">
        <is>
          <t>TRUCK,ARMORED,CARGO - AMK23A1</t>
        </is>
      </c>
      <c r="K344" t="inlineStr">
        <is>
          <t>IS</t>
        </is>
      </c>
      <c r="L344" t="inlineStr">
        <is>
          <t>EA</t>
        </is>
      </c>
      <c r="M344" t="inlineStr">
        <is>
          <t>R</t>
        </is>
      </c>
      <c r="N344" t="n">
        <v>0</v>
      </c>
      <c r="O344" t="n">
        <v>4</v>
      </c>
      <c r="P344" t="n">
        <v>4</v>
      </c>
    </row>
    <row r="345">
      <c r="B345" t="n">
        <v>341</v>
      </c>
      <c r="C345" t="inlineStr">
        <is>
          <t>21710</t>
        </is>
      </c>
      <c r="D345" t="inlineStr">
        <is>
          <t>21710</t>
        </is>
      </c>
      <c r="G345" t="inlineStr">
        <is>
          <t>M29112</t>
        </is>
      </c>
      <c r="H345" t="inlineStr">
        <is>
          <t>D0005</t>
        </is>
      </c>
      <c r="I345" t="inlineStr">
        <is>
          <t>D00057K</t>
        </is>
      </c>
      <c r="J345" t="inlineStr">
        <is>
          <t>TRUCK,ARMORED,XLWB - AMK27A1</t>
        </is>
      </c>
      <c r="K345" t="inlineStr">
        <is>
          <t>IS</t>
        </is>
      </c>
      <c r="L345" t="inlineStr">
        <is>
          <t>EA</t>
        </is>
      </c>
      <c r="M345" t="inlineStr">
        <is>
          <t>R</t>
        </is>
      </c>
      <c r="N345" t="n">
        <v>0</v>
      </c>
      <c r="O345" t="n">
        <v>6</v>
      </c>
      <c r="P345" t="n">
        <v>6</v>
      </c>
    </row>
    <row r="346">
      <c r="B346" t="n">
        <v>342</v>
      </c>
      <c r="C346" t="inlineStr">
        <is>
          <t>21710</t>
        </is>
      </c>
      <c r="D346" t="inlineStr">
        <is>
          <t>21710</t>
        </is>
      </c>
      <c r="G346" t="inlineStr">
        <is>
          <t>M29112</t>
        </is>
      </c>
      <c r="H346" t="inlineStr">
        <is>
          <t>D0015</t>
        </is>
      </c>
      <c r="I346" t="inlineStr">
        <is>
          <t>D00157K</t>
        </is>
      </c>
      <c r="J346" t="inlineStr">
        <is>
          <t>TRUCK,WRECKER,ARMOR - AMK36</t>
        </is>
      </c>
      <c r="K346" t="inlineStr">
        <is>
          <t>IS</t>
        </is>
      </c>
      <c r="L346" t="inlineStr">
        <is>
          <t>EA</t>
        </is>
      </c>
      <c r="M346" t="inlineStr">
        <is>
          <t>M</t>
        </is>
      </c>
      <c r="N346" t="n">
        <v>0</v>
      </c>
      <c r="O346" t="n">
        <v>1</v>
      </c>
      <c r="P346" t="n">
        <v>1</v>
      </c>
    </row>
    <row r="347">
      <c r="B347" t="n">
        <v>343</v>
      </c>
      <c r="C347" t="inlineStr">
        <is>
          <t>21710</t>
        </is>
      </c>
      <c r="D347" t="inlineStr">
        <is>
          <t>21710</t>
        </is>
      </c>
      <c r="G347" t="inlineStr">
        <is>
          <t>M29112</t>
        </is>
      </c>
      <c r="H347" t="inlineStr">
        <is>
          <t>D0045</t>
        </is>
      </c>
      <c r="I347" t="inlineStr">
        <is>
          <t>D00457K</t>
        </is>
      </c>
      <c r="J347" t="inlineStr">
        <is>
          <t>TRUCK,UTILITY - M1280A1</t>
        </is>
      </c>
      <c r="K347" t="inlineStr">
        <is>
          <t>IS</t>
        </is>
      </c>
      <c r="L347" t="inlineStr">
        <is>
          <t>EA</t>
        </is>
      </c>
      <c r="M347" t="inlineStr">
        <is>
          <t>R</t>
        </is>
      </c>
      <c r="N347" t="n">
        <v>0</v>
      </c>
      <c r="O347" t="n">
        <v>2</v>
      </c>
      <c r="P347" t="n">
        <v>2</v>
      </c>
    </row>
    <row r="348">
      <c r="B348" t="n">
        <v>344</v>
      </c>
      <c r="C348" t="inlineStr">
        <is>
          <t>21710</t>
        </is>
      </c>
      <c r="D348" t="inlineStr">
        <is>
          <t>21710</t>
        </is>
      </c>
      <c r="G348" t="inlineStr">
        <is>
          <t>M29112</t>
        </is>
      </c>
      <c r="H348" t="inlineStr">
        <is>
          <t>D0046</t>
        </is>
      </c>
      <c r="I348" t="inlineStr">
        <is>
          <t>D00467K</t>
        </is>
      </c>
      <c r="J348" t="inlineStr">
        <is>
          <t>TRUCK,UTILITY - M1278A1</t>
        </is>
      </c>
      <c r="K348" t="inlineStr">
        <is>
          <t>IS</t>
        </is>
      </c>
      <c r="L348" t="inlineStr">
        <is>
          <t>EA</t>
        </is>
      </c>
      <c r="M348" t="inlineStr">
        <is>
          <t>R</t>
        </is>
      </c>
      <c r="N348" t="n">
        <v>0</v>
      </c>
      <c r="O348" t="n">
        <v>2</v>
      </c>
      <c r="P348" t="n">
        <v>2</v>
      </c>
    </row>
    <row r="349">
      <c r="B349" t="n">
        <v>345</v>
      </c>
      <c r="C349" t="inlineStr">
        <is>
          <t>21710</t>
        </is>
      </c>
      <c r="D349" t="inlineStr">
        <is>
          <t>21710</t>
        </is>
      </c>
      <c r="G349" t="inlineStr">
        <is>
          <t>M29112</t>
        </is>
      </c>
      <c r="H349" t="inlineStr">
        <is>
          <t>D0048</t>
        </is>
      </c>
      <c r="I349" t="inlineStr">
        <is>
          <t>D00487K</t>
        </is>
      </c>
      <c r="J349" t="inlineStr">
        <is>
          <t>TRUCK,UTILITY - M1279A1</t>
        </is>
      </c>
      <c r="K349" t="inlineStr">
        <is>
          <t>IS</t>
        </is>
      </c>
      <c r="L349" t="inlineStr">
        <is>
          <t>EA</t>
        </is>
      </c>
      <c r="M349" t="inlineStr">
        <is>
          <t>R</t>
        </is>
      </c>
      <c r="N349" t="n">
        <v>0</v>
      </c>
      <c r="O349" t="n">
        <v>2</v>
      </c>
      <c r="P349" t="n">
        <v>2</v>
      </c>
    </row>
    <row r="350">
      <c r="B350" t="n">
        <v>346</v>
      </c>
      <c r="C350" t="inlineStr">
        <is>
          <t>21710</t>
        </is>
      </c>
      <c r="D350" t="inlineStr">
        <is>
          <t>21710</t>
        </is>
      </c>
      <c r="G350" t="inlineStr">
        <is>
          <t>M29112</t>
        </is>
      </c>
      <c r="H350" t="inlineStr">
        <is>
          <t>D0058</t>
        </is>
      </c>
      <c r="I350" t="inlineStr">
        <is>
          <t>D00587K</t>
        </is>
      </c>
      <c r="J350" t="inlineStr">
        <is>
          <t>TRAILER,CARGO</t>
        </is>
      </c>
      <c r="K350" t="inlineStr">
        <is>
          <t>IS</t>
        </is>
      </c>
      <c r="L350" t="inlineStr">
        <is>
          <t>EA</t>
        </is>
      </c>
      <c r="M350" t="inlineStr">
        <is>
          <t>N</t>
        </is>
      </c>
      <c r="N350" t="n">
        <v>0</v>
      </c>
      <c r="O350" t="n">
        <v>1</v>
      </c>
      <c r="P350" t="n">
        <v>1</v>
      </c>
    </row>
    <row r="351">
      <c r="B351" t="n">
        <v>347</v>
      </c>
      <c r="C351" t="inlineStr">
        <is>
          <t>21710</t>
        </is>
      </c>
      <c r="D351" t="inlineStr">
        <is>
          <t>21710</t>
        </is>
      </c>
      <c r="G351" t="inlineStr">
        <is>
          <t>M29112</t>
        </is>
      </c>
      <c r="H351" t="inlineStr">
        <is>
          <t>D0862</t>
        </is>
      </c>
      <c r="I351" t="inlineStr">
        <is>
          <t>D08627K</t>
        </is>
      </c>
      <c r="J351" t="inlineStr">
        <is>
          <t>TRAILER,CARGO - MK593</t>
        </is>
      </c>
      <c r="K351" t="inlineStr">
        <is>
          <t>IS</t>
        </is>
      </c>
      <c r="L351" t="inlineStr">
        <is>
          <t>EA</t>
        </is>
      </c>
      <c r="M351" t="inlineStr">
        <is>
          <t>N</t>
        </is>
      </c>
      <c r="N351" t="n">
        <v>0</v>
      </c>
      <c r="O351" t="n">
        <v>5</v>
      </c>
      <c r="P351" t="n">
        <v>5</v>
      </c>
    </row>
    <row r="352">
      <c r="B352" t="n">
        <v>348</v>
      </c>
      <c r="C352" t="inlineStr">
        <is>
          <t>21710</t>
        </is>
      </c>
      <c r="D352" t="inlineStr">
        <is>
          <t>21710</t>
        </is>
      </c>
      <c r="G352" t="inlineStr">
        <is>
          <t>M29112</t>
        </is>
      </c>
      <c r="H352" t="inlineStr">
        <is>
          <t>D0880</t>
        </is>
      </c>
      <c r="I352" t="inlineStr">
        <is>
          <t>D08807K</t>
        </is>
      </c>
      <c r="J352" t="inlineStr">
        <is>
          <t>TRAILER,TANK - M149A2</t>
        </is>
      </c>
      <c r="K352" t="inlineStr">
        <is>
          <t>IS</t>
        </is>
      </c>
      <c r="L352" t="inlineStr">
        <is>
          <t>EA</t>
        </is>
      </c>
      <c r="M352" t="inlineStr">
        <is>
          <t>R</t>
        </is>
      </c>
      <c r="N352" t="n">
        <v>0</v>
      </c>
      <c r="O352" t="n">
        <v>1</v>
      </c>
      <c r="P352" t="n">
        <v>1</v>
      </c>
    </row>
    <row r="353">
      <c r="B353" t="n">
        <v>349</v>
      </c>
      <c r="C353" t="inlineStr">
        <is>
          <t>14345</t>
        </is>
      </c>
      <c r="D353" t="inlineStr">
        <is>
          <t>14345</t>
        </is>
      </c>
      <c r="G353" t="inlineStr">
        <is>
          <t>M29112</t>
        </is>
      </c>
      <c r="H353" t="inlineStr">
        <is>
          <t>E0013</t>
        </is>
      </c>
      <c r="I353" t="inlineStr">
        <is>
          <t>E00132B</t>
        </is>
      </c>
      <c r="J353" t="inlineStr">
        <is>
          <t>TELESCOPE,ARTICULAT - M8541</t>
        </is>
      </c>
      <c r="K353" t="inlineStr">
        <is>
          <t>IS</t>
        </is>
      </c>
      <c r="L353" t="inlineStr">
        <is>
          <t>EA</t>
        </is>
      </c>
      <c r="M353" t="inlineStr">
        <is>
          <t>R</t>
        </is>
      </c>
      <c r="N353" t="n">
        <v>0</v>
      </c>
      <c r="O353" t="n">
        <v>0</v>
      </c>
      <c r="P353" t="n">
        <v>0</v>
      </c>
    </row>
    <row r="354">
      <c r="B354" t="n">
        <v>350</v>
      </c>
      <c r="C354" t="inlineStr">
        <is>
          <t>14345</t>
        </is>
      </c>
      <c r="D354" t="inlineStr">
        <is>
          <t>14345</t>
        </is>
      </c>
      <c r="G354" t="inlineStr">
        <is>
          <t>M29112</t>
        </is>
      </c>
      <c r="H354" t="inlineStr">
        <is>
          <t>E0017</t>
        </is>
      </c>
      <c r="I354" t="inlineStr">
        <is>
          <t>E00172B</t>
        </is>
      </c>
      <c r="J354" t="inlineStr">
        <is>
          <t>SIGHT,BORE,OPTICAL - M7</t>
        </is>
      </c>
      <c r="K354" t="inlineStr">
        <is>
          <t>IS</t>
        </is>
      </c>
      <c r="L354" t="inlineStr">
        <is>
          <t>EA</t>
        </is>
      </c>
      <c r="M354" t="inlineStr">
        <is>
          <t>N</t>
        </is>
      </c>
      <c r="N354" t="n">
        <v>21</v>
      </c>
      <c r="O354" t="n">
        <v>0</v>
      </c>
      <c r="P354" t="n">
        <v>21</v>
      </c>
    </row>
    <row r="355">
      <c r="B355" t="n">
        <v>351</v>
      </c>
      <c r="C355" t="inlineStr">
        <is>
          <t>14345</t>
        </is>
      </c>
      <c r="D355" t="inlineStr">
        <is>
          <t>14345</t>
        </is>
      </c>
      <c r="G355" t="inlineStr">
        <is>
          <t>M29112</t>
        </is>
      </c>
      <c r="H355" t="inlineStr">
        <is>
          <t>E0030</t>
        </is>
      </c>
      <c r="I355" t="inlineStr">
        <is>
          <t>E00302M</t>
        </is>
      </c>
      <c r="J355" t="inlineStr">
        <is>
          <t>PISTOL,9 MILLIMETER - M18</t>
        </is>
      </c>
      <c r="K355" t="inlineStr">
        <is>
          <t>IS</t>
        </is>
      </c>
      <c r="L355" t="inlineStr">
        <is>
          <t>EA</t>
        </is>
      </c>
      <c r="M355" t="inlineStr">
        <is>
          <t>N</t>
        </is>
      </c>
      <c r="N355" t="n">
        <v>0</v>
      </c>
      <c r="O355" t="n">
        <v>0</v>
      </c>
      <c r="P355" t="n">
        <v>0</v>
      </c>
    </row>
    <row r="356">
      <c r="B356" t="n">
        <v>352</v>
      </c>
      <c r="C356" t="inlineStr">
        <is>
          <t>14345</t>
        </is>
      </c>
      <c r="D356" t="inlineStr">
        <is>
          <t>14345</t>
        </is>
      </c>
      <c r="G356" t="inlineStr">
        <is>
          <t>M29112</t>
        </is>
      </c>
      <c r="H356" t="inlineStr">
        <is>
          <t>E0041</t>
        </is>
      </c>
      <c r="I356" t="inlineStr">
        <is>
          <t>E00412B</t>
        </is>
      </c>
      <c r="J356" t="inlineStr">
        <is>
          <t>SIGHT,REFLEX - M571</t>
        </is>
      </c>
      <c r="K356" t="inlineStr">
        <is>
          <t>IS</t>
        </is>
      </c>
      <c r="L356" t="inlineStr">
        <is>
          <t>EA</t>
        </is>
      </c>
      <c r="M356" t="inlineStr">
        <is>
          <t>N</t>
        </is>
      </c>
      <c r="N356" t="n">
        <v>0</v>
      </c>
      <c r="O356" t="n">
        <v>0</v>
      </c>
      <c r="P356" t="n">
        <v>0</v>
      </c>
    </row>
    <row r="357">
      <c r="B357" t="n">
        <v>353</v>
      </c>
      <c r="C357" t="inlineStr">
        <is>
          <t>14326</t>
        </is>
      </c>
      <c r="D357" t="inlineStr">
        <is>
          <t>14326</t>
        </is>
      </c>
      <c r="G357" t="inlineStr">
        <is>
          <t>M29112</t>
        </is>
      </c>
      <c r="H357" t="inlineStr">
        <is>
          <t>E0050</t>
        </is>
      </c>
      <c r="I357" t="inlineStr">
        <is>
          <t>E00502E</t>
        </is>
      </c>
      <c r="J357" t="inlineStr">
        <is>
          <t>BAYONET-KNIFE - OKC3S</t>
        </is>
      </c>
      <c r="K357" t="inlineStr">
        <is>
          <t>IS</t>
        </is>
      </c>
      <c r="L357" t="inlineStr">
        <is>
          <t>EA</t>
        </is>
      </c>
      <c r="M357" t="inlineStr">
        <is>
          <t>N</t>
        </is>
      </c>
      <c r="N357" t="n">
        <v>58</v>
      </c>
      <c r="O357" t="n">
        <v>0</v>
      </c>
      <c r="P357" t="n">
        <v>58</v>
      </c>
    </row>
    <row r="358">
      <c r="B358" t="n">
        <v>354</v>
      </c>
      <c r="C358" t="inlineStr">
        <is>
          <t>14345</t>
        </is>
      </c>
      <c r="D358" t="inlineStr">
        <is>
          <t>14345</t>
        </is>
      </c>
      <c r="G358" t="inlineStr">
        <is>
          <t>M29112</t>
        </is>
      </c>
      <c r="H358" t="inlineStr">
        <is>
          <t>E0081</t>
        </is>
      </c>
      <c r="I358" t="inlineStr">
        <is>
          <t>E00817B</t>
        </is>
      </c>
      <c r="J358" t="inlineStr">
        <is>
          <t>MOUNT,MACHINE GUN - M35</t>
        </is>
      </c>
      <c r="K358" t="inlineStr">
        <is>
          <t>IS</t>
        </is>
      </c>
      <c r="L358" t="inlineStr">
        <is>
          <t>EA</t>
        </is>
      </c>
      <c r="M358" t="inlineStr">
        <is>
          <t>N</t>
        </is>
      </c>
      <c r="N358" t="n">
        <v>5</v>
      </c>
      <c r="O358" t="n">
        <v>0</v>
      </c>
      <c r="P358" t="n">
        <v>5</v>
      </c>
    </row>
    <row r="359">
      <c r="B359" t="n">
        <v>355</v>
      </c>
      <c r="C359" t="inlineStr">
        <is>
          <t>14345</t>
        </is>
      </c>
      <c r="D359" t="inlineStr">
        <is>
          <t>14345</t>
        </is>
      </c>
      <c r="G359" t="inlineStr">
        <is>
          <t>M29112</t>
        </is>
      </c>
      <c r="H359" t="inlineStr">
        <is>
          <t>E0082</t>
        </is>
      </c>
      <c r="I359" t="inlineStr">
        <is>
          <t>E00822B</t>
        </is>
      </c>
      <c r="J359" t="inlineStr">
        <is>
          <t>SIGHT UNIT - TA11SDO</t>
        </is>
      </c>
      <c r="K359" t="inlineStr">
        <is>
          <t>IS</t>
        </is>
      </c>
      <c r="L359" t="inlineStr">
        <is>
          <t>EA</t>
        </is>
      </c>
      <c r="M359" t="inlineStr">
        <is>
          <t>N</t>
        </is>
      </c>
      <c r="N359" t="n">
        <v>0</v>
      </c>
      <c r="O359" t="n">
        <v>0</v>
      </c>
      <c r="P359" t="n">
        <v>0</v>
      </c>
    </row>
    <row r="360">
      <c r="B360" t="n">
        <v>356</v>
      </c>
      <c r="C360" t="inlineStr">
        <is>
          <t>14345</t>
        </is>
      </c>
      <c r="D360" t="inlineStr">
        <is>
          <t>14345</t>
        </is>
      </c>
      <c r="G360" t="inlineStr">
        <is>
          <t>M29112</t>
        </is>
      </c>
      <c r="H360" t="inlineStr">
        <is>
          <t>E0088</t>
        </is>
      </c>
      <c r="I360" t="inlineStr">
        <is>
          <t>E00887B</t>
        </is>
      </c>
      <c r="J360" t="inlineStr">
        <is>
          <t>SIGHT UNIT - TA648MDO</t>
        </is>
      </c>
      <c r="K360" t="inlineStr">
        <is>
          <t>IS</t>
        </is>
      </c>
      <c r="L360" t="inlineStr">
        <is>
          <t>EA</t>
        </is>
      </c>
      <c r="M360" t="inlineStr">
        <is>
          <t>N</t>
        </is>
      </c>
      <c r="N360" t="n">
        <v>5</v>
      </c>
      <c r="O360" t="n">
        <v>0</v>
      </c>
      <c r="P360" t="n">
        <v>5</v>
      </c>
    </row>
    <row r="361">
      <c r="B361" t="n">
        <v>357</v>
      </c>
      <c r="C361" t="inlineStr">
        <is>
          <t>14345</t>
        </is>
      </c>
      <c r="D361" t="inlineStr">
        <is>
          <t>14345</t>
        </is>
      </c>
      <c r="G361" t="inlineStr">
        <is>
          <t>M29112</t>
        </is>
      </c>
      <c r="H361" t="inlineStr">
        <is>
          <t>E0099</t>
        </is>
      </c>
      <c r="I361" t="inlineStr">
        <is>
          <t>E00992B</t>
        </is>
      </c>
      <c r="J361" t="inlineStr">
        <is>
          <t>SIGHT,REFLEX - 552.65A</t>
        </is>
      </c>
      <c r="K361" t="inlineStr">
        <is>
          <t>IS</t>
        </is>
      </c>
      <c r="L361" t="inlineStr">
        <is>
          <t>EA</t>
        </is>
      </c>
      <c r="M361" t="inlineStr">
        <is>
          <t>N</t>
        </is>
      </c>
      <c r="N361" t="n">
        <v>0</v>
      </c>
      <c r="O361" t="n">
        <v>0</v>
      </c>
      <c r="P361" t="n">
        <v>0</v>
      </c>
    </row>
    <row r="362">
      <c r="B362" t="n">
        <v>358</v>
      </c>
      <c r="C362" t="inlineStr">
        <is>
          <t>14345</t>
        </is>
      </c>
      <c r="D362" t="inlineStr">
        <is>
          <t>14345</t>
        </is>
      </c>
      <c r="G362" t="inlineStr">
        <is>
          <t>M29112</t>
        </is>
      </c>
      <c r="H362" t="inlineStr">
        <is>
          <t>E0100</t>
        </is>
      </c>
      <c r="I362" t="inlineStr">
        <is>
          <t>E01002M</t>
        </is>
      </c>
      <c r="J362" t="inlineStr">
        <is>
          <t>RIFLE,5.56 MILLIMET - M27 IAR</t>
        </is>
      </c>
      <c r="K362" t="inlineStr">
        <is>
          <t>IS</t>
        </is>
      </c>
      <c r="L362" t="inlineStr">
        <is>
          <t>EA</t>
        </is>
      </c>
      <c r="M362" t="inlineStr">
        <is>
          <t>N</t>
        </is>
      </c>
      <c r="N362" t="n">
        <v>0</v>
      </c>
      <c r="O362" t="n">
        <v>0</v>
      </c>
      <c r="P362" t="n">
        <v>0</v>
      </c>
    </row>
    <row r="363">
      <c r="B363" t="n">
        <v>359</v>
      </c>
      <c r="C363" t="inlineStr">
        <is>
          <t>14345</t>
        </is>
      </c>
      <c r="D363" t="inlineStr">
        <is>
          <t>14345</t>
        </is>
      </c>
      <c r="G363" t="inlineStr">
        <is>
          <t>M29112</t>
        </is>
      </c>
      <c r="H363" t="inlineStr">
        <is>
          <t>E0113</t>
        </is>
      </c>
      <c r="I363" t="inlineStr">
        <is>
          <t>E01132M</t>
        </is>
      </c>
      <c r="J363" t="inlineStr">
        <is>
          <t>SILENCER,GUN - SOCOM762-RC-DE</t>
        </is>
      </c>
      <c r="K363" t="inlineStr">
        <is>
          <t>DP</t>
        </is>
      </c>
      <c r="L363" t="inlineStr">
        <is>
          <t>EA</t>
        </is>
      </c>
      <c r="M363" t="inlineStr">
        <is>
          <t>N</t>
        </is>
      </c>
      <c r="N363" t="n">
        <v>0</v>
      </c>
      <c r="O363" t="n">
        <v>0</v>
      </c>
      <c r="P363" t="n">
        <v>0</v>
      </c>
    </row>
    <row r="364">
      <c r="B364" t="n">
        <v>360</v>
      </c>
      <c r="C364" t="inlineStr">
        <is>
          <t>14345</t>
        </is>
      </c>
      <c r="D364" t="inlineStr">
        <is>
          <t>14345</t>
        </is>
      </c>
      <c r="G364" t="inlineStr">
        <is>
          <t>M29112</t>
        </is>
      </c>
      <c r="H364" t="inlineStr">
        <is>
          <t>E0114</t>
        </is>
      </c>
      <c r="I364" t="inlineStr">
        <is>
          <t>E01142B</t>
        </is>
      </c>
      <c r="J364" t="inlineStr">
        <is>
          <t>SIGHT,BORE,OPTICAL - M83</t>
        </is>
      </c>
      <c r="K364" t="inlineStr">
        <is>
          <t>IS</t>
        </is>
      </c>
      <c r="L364" t="inlineStr">
        <is>
          <t>EA</t>
        </is>
      </c>
      <c r="M364" t="inlineStr">
        <is>
          <t>N</t>
        </is>
      </c>
      <c r="N364" t="n">
        <v>0</v>
      </c>
      <c r="O364" t="n">
        <v>0</v>
      </c>
      <c r="P364" t="n">
        <v>0</v>
      </c>
    </row>
    <row r="365">
      <c r="B365" t="n">
        <v>361</v>
      </c>
      <c r="C365" t="inlineStr">
        <is>
          <t>14345</t>
        </is>
      </c>
      <c r="D365" t="inlineStr">
        <is>
          <t>14345</t>
        </is>
      </c>
      <c r="G365" t="inlineStr">
        <is>
          <t>M29112</t>
        </is>
      </c>
      <c r="H365" t="inlineStr">
        <is>
          <t>E0123</t>
        </is>
      </c>
      <c r="I365" t="inlineStr">
        <is>
          <t>E01237M</t>
        </is>
      </c>
      <c r="J365" t="inlineStr">
        <is>
          <t>MACHINE GUN,CALIBER - M2A1</t>
        </is>
      </c>
      <c r="K365" t="inlineStr">
        <is>
          <t>IS</t>
        </is>
      </c>
      <c r="L365" t="inlineStr">
        <is>
          <t>EA</t>
        </is>
      </c>
      <c r="M365" t="inlineStr">
        <is>
          <t>M</t>
        </is>
      </c>
      <c r="N365" t="n">
        <v>0</v>
      </c>
      <c r="O365" t="n">
        <v>0</v>
      </c>
      <c r="P365" t="n">
        <v>0</v>
      </c>
    </row>
    <row r="366">
      <c r="B366" t="n">
        <v>362</v>
      </c>
      <c r="C366" t="inlineStr">
        <is>
          <t>14345</t>
        </is>
      </c>
      <c r="D366" t="inlineStr">
        <is>
          <t>14345</t>
        </is>
      </c>
      <c r="G366" t="inlineStr">
        <is>
          <t>M29112</t>
        </is>
      </c>
      <c r="H366" t="inlineStr">
        <is>
          <t>E0127</t>
        </is>
      </c>
      <c r="I366" t="inlineStr">
        <is>
          <t>E01272M</t>
        </is>
      </c>
      <c r="J366" t="inlineStr">
        <is>
          <t>SUPPRESSOR,SMALL AR - 96062-2</t>
        </is>
      </c>
      <c r="K366" t="inlineStr">
        <is>
          <t>IS</t>
        </is>
      </c>
      <c r="L366" t="inlineStr">
        <is>
          <t>EA</t>
        </is>
      </c>
      <c r="M366" t="inlineStr">
        <is>
          <t>N</t>
        </is>
      </c>
      <c r="N366" t="n">
        <v>0</v>
      </c>
      <c r="O366" t="n">
        <v>0</v>
      </c>
      <c r="P366" t="n">
        <v>0</v>
      </c>
    </row>
    <row r="367">
      <c r="B367" t="n">
        <v>363</v>
      </c>
      <c r="C367" t="inlineStr">
        <is>
          <t>14345</t>
        </is>
      </c>
      <c r="D367" t="inlineStr">
        <is>
          <t>14345</t>
        </is>
      </c>
      <c r="G367" t="inlineStr">
        <is>
          <t>M29112</t>
        </is>
      </c>
      <c r="H367" t="inlineStr">
        <is>
          <t>E0173</t>
        </is>
      </c>
      <c r="I367" t="inlineStr">
        <is>
          <t>E01732G</t>
        </is>
      </c>
      <c r="J367" t="inlineStr">
        <is>
          <t>ILLUMINATOR,INTEGRA</t>
        </is>
      </c>
      <c r="K367" t="inlineStr">
        <is>
          <t>IS</t>
        </is>
      </c>
      <c r="L367" t="inlineStr">
        <is>
          <t>EA</t>
        </is>
      </c>
      <c r="M367" t="inlineStr">
        <is>
          <t>N</t>
        </is>
      </c>
      <c r="N367" t="n">
        <v>0</v>
      </c>
      <c r="O367" t="n">
        <v>0</v>
      </c>
      <c r="P367" t="n">
        <v>0</v>
      </c>
    </row>
    <row r="368">
      <c r="B368" t="n">
        <v>364</v>
      </c>
      <c r="C368" t="inlineStr">
        <is>
          <t>14345</t>
        </is>
      </c>
      <c r="D368" t="inlineStr">
        <is>
          <t>14345</t>
        </is>
      </c>
      <c r="G368" t="inlineStr">
        <is>
          <t>M29112</t>
        </is>
      </c>
      <c r="H368" t="inlineStr">
        <is>
          <t>E0187</t>
        </is>
      </c>
      <c r="I368" t="inlineStr">
        <is>
          <t>E01877B</t>
        </is>
      </c>
      <c r="J368" t="inlineStr">
        <is>
          <t>SIGHT,NIGHT VISION - 1019765-101</t>
        </is>
      </c>
      <c r="K368" t="inlineStr">
        <is>
          <t>IS</t>
        </is>
      </c>
      <c r="L368" t="inlineStr">
        <is>
          <t>KT</t>
        </is>
      </c>
      <c r="M368" t="inlineStr">
        <is>
          <t>R</t>
        </is>
      </c>
      <c r="N368" t="n">
        <v>0</v>
      </c>
      <c r="O368" t="n">
        <v>0</v>
      </c>
      <c r="P368" t="n">
        <v>0</v>
      </c>
    </row>
    <row r="369">
      <c r="B369" t="n">
        <v>365</v>
      </c>
      <c r="C369" t="inlineStr">
        <is>
          <t>14345</t>
        </is>
      </c>
      <c r="D369" t="inlineStr">
        <is>
          <t>14345</t>
        </is>
      </c>
      <c r="G369" t="inlineStr">
        <is>
          <t>M29112</t>
        </is>
      </c>
      <c r="H369" t="inlineStr">
        <is>
          <t>E0190</t>
        </is>
      </c>
      <c r="I369" t="inlineStr">
        <is>
          <t>E01902M</t>
        </is>
      </c>
      <c r="J369" t="inlineStr">
        <is>
          <t>CARBINE,5.56 MILLIM - M4A1</t>
        </is>
      </c>
      <c r="K369" t="inlineStr">
        <is>
          <t>IS</t>
        </is>
      </c>
      <c r="L369" t="inlineStr">
        <is>
          <t>EA</t>
        </is>
      </c>
      <c r="M369" t="inlineStr">
        <is>
          <t>N</t>
        </is>
      </c>
      <c r="N369" t="n">
        <v>0</v>
      </c>
      <c r="O369" t="n">
        <v>0</v>
      </c>
      <c r="P369" t="n">
        <v>0</v>
      </c>
    </row>
    <row r="370">
      <c r="B370" t="n">
        <v>366</v>
      </c>
      <c r="C370" t="inlineStr">
        <is>
          <t>14345</t>
        </is>
      </c>
      <c r="D370" t="inlineStr">
        <is>
          <t>14345</t>
        </is>
      </c>
      <c r="G370" t="inlineStr">
        <is>
          <t>M29112</t>
        </is>
      </c>
      <c r="H370" t="inlineStr">
        <is>
          <t>E0195</t>
        </is>
      </c>
      <c r="I370" t="inlineStr">
        <is>
          <t>E01952M</t>
        </is>
      </c>
      <c r="J370" t="inlineStr">
        <is>
          <t>CARBINE,5.56 MILLIM - M4</t>
        </is>
      </c>
      <c r="K370" t="inlineStr">
        <is>
          <t>IS</t>
        </is>
      </c>
      <c r="L370" t="inlineStr">
        <is>
          <t>EA</t>
        </is>
      </c>
      <c r="M370" t="inlineStr">
        <is>
          <t>N</t>
        </is>
      </c>
      <c r="N370" t="n">
        <v>21</v>
      </c>
      <c r="O370" t="n">
        <v>0</v>
      </c>
      <c r="P370" t="n">
        <v>21</v>
      </c>
    </row>
    <row r="371">
      <c r="B371" t="n">
        <v>367</v>
      </c>
      <c r="C371" t="inlineStr">
        <is>
          <t>14345</t>
        </is>
      </c>
      <c r="D371" t="inlineStr">
        <is>
          <t>14345</t>
        </is>
      </c>
      <c r="G371" t="inlineStr">
        <is>
          <t>M29112</t>
        </is>
      </c>
      <c r="H371" t="inlineStr">
        <is>
          <t>E0201</t>
        </is>
      </c>
      <c r="I371" t="inlineStr">
        <is>
          <t>E02012M</t>
        </is>
      </c>
      <c r="J371" t="inlineStr">
        <is>
          <t>SUPPRESSOR,SMALL AR</t>
        </is>
      </c>
      <c r="K371" t="inlineStr">
        <is>
          <t>IS</t>
        </is>
      </c>
      <c r="L371" t="inlineStr">
        <is>
          <t>EA</t>
        </is>
      </c>
      <c r="M371" t="inlineStr">
        <is>
          <t>N</t>
        </is>
      </c>
      <c r="N371" t="n">
        <v>0</v>
      </c>
      <c r="O371" t="n">
        <v>0</v>
      </c>
      <c r="P371" t="n">
        <v>0</v>
      </c>
    </row>
    <row r="372">
      <c r="B372" t="n">
        <v>368</v>
      </c>
      <c r="C372" t="inlineStr">
        <is>
          <t>14345</t>
        </is>
      </c>
      <c r="D372" t="inlineStr">
        <is>
          <t>14345</t>
        </is>
      </c>
      <c r="G372" t="inlineStr">
        <is>
          <t>M29112</t>
        </is>
      </c>
      <c r="H372" t="inlineStr">
        <is>
          <t>E0202</t>
        </is>
      </c>
      <c r="I372" t="inlineStr">
        <is>
          <t>E02022B</t>
        </is>
      </c>
      <c r="J372" t="inlineStr">
        <is>
          <t>TELESCOPE,STRAIGHT - M317</t>
        </is>
      </c>
      <c r="K372" t="inlineStr">
        <is>
          <t>IS</t>
        </is>
      </c>
      <c r="L372" t="inlineStr">
        <is>
          <t>EA</t>
        </is>
      </c>
      <c r="M372" t="inlineStr">
        <is>
          <t>R</t>
        </is>
      </c>
      <c r="N372" t="n">
        <v>0</v>
      </c>
      <c r="O372" t="n">
        <v>0</v>
      </c>
      <c r="P372" t="n">
        <v>0</v>
      </c>
    </row>
    <row r="373">
      <c r="B373" t="n">
        <v>369</v>
      </c>
      <c r="C373" t="inlineStr">
        <is>
          <t>14345</t>
        </is>
      </c>
      <c r="D373" t="inlineStr">
        <is>
          <t>14345</t>
        </is>
      </c>
      <c r="G373" t="inlineStr">
        <is>
          <t>M29112</t>
        </is>
      </c>
      <c r="H373" t="inlineStr">
        <is>
          <t>E0212</t>
        </is>
      </c>
      <c r="I373" t="inlineStr">
        <is>
          <t>E02122B</t>
        </is>
      </c>
      <c r="J373" t="inlineStr">
        <is>
          <t>TELESCOPE,STRAIGHT - M311</t>
        </is>
      </c>
      <c r="K373" t="inlineStr">
        <is>
          <t>PL</t>
        </is>
      </c>
      <c r="L373" t="inlineStr">
        <is>
          <t>EA</t>
        </is>
      </c>
      <c r="M373" t="inlineStr">
        <is>
          <t>N</t>
        </is>
      </c>
      <c r="N373" t="n">
        <v>0</v>
      </c>
      <c r="O373" t="n">
        <v>0</v>
      </c>
      <c r="P373" t="n">
        <v>0</v>
      </c>
    </row>
    <row r="374">
      <c r="B374" t="n">
        <v>370</v>
      </c>
      <c r="C374" t="inlineStr">
        <is>
          <t>14345</t>
        </is>
      </c>
      <c r="D374" t="inlineStr">
        <is>
          <t>14345</t>
        </is>
      </c>
      <c r="G374" t="inlineStr">
        <is>
          <t>M29112</t>
        </is>
      </c>
      <c r="H374" t="inlineStr">
        <is>
          <t>E0892</t>
        </is>
      </c>
      <c r="I374" t="inlineStr">
        <is>
          <t>E08922M</t>
        </is>
      </c>
      <c r="J374" t="inlineStr">
        <is>
          <t>LAUNCHER,GRENADE - M320A1</t>
        </is>
      </c>
      <c r="K374" t="inlineStr">
        <is>
          <t>IS</t>
        </is>
      </c>
      <c r="L374" t="inlineStr">
        <is>
          <t>EA</t>
        </is>
      </c>
      <c r="M374" t="inlineStr">
        <is>
          <t>N</t>
        </is>
      </c>
      <c r="N374" t="n">
        <v>0</v>
      </c>
      <c r="O374" t="n">
        <v>2</v>
      </c>
      <c r="P374" t="n">
        <v>2</v>
      </c>
    </row>
    <row r="375">
      <c r="B375" t="n">
        <v>371</v>
      </c>
      <c r="C375" t="inlineStr">
        <is>
          <t>14345</t>
        </is>
      </c>
      <c r="D375" t="inlineStr">
        <is>
          <t>14345</t>
        </is>
      </c>
      <c r="G375" t="inlineStr">
        <is>
          <t>M29112</t>
        </is>
      </c>
      <c r="H375" t="inlineStr">
        <is>
          <t>E0989</t>
        </is>
      </c>
      <c r="I375" t="inlineStr">
        <is>
          <t>E09897M</t>
        </is>
      </c>
      <c r="J375" t="inlineStr">
        <is>
          <t>MACHINE GUN,7.62 MI - M240B</t>
        </is>
      </c>
      <c r="K375" t="inlineStr">
        <is>
          <t>IS</t>
        </is>
      </c>
      <c r="L375" t="inlineStr">
        <is>
          <t>EA</t>
        </is>
      </c>
      <c r="M375" t="inlineStr">
        <is>
          <t>M</t>
        </is>
      </c>
      <c r="N375" t="n">
        <v>0</v>
      </c>
      <c r="O375" t="n">
        <v>5</v>
      </c>
      <c r="P375" t="n">
        <v>5</v>
      </c>
    </row>
    <row r="376">
      <c r="B376" t="n">
        <v>372</v>
      </c>
      <c r="C376" t="inlineStr">
        <is>
          <t>14345</t>
        </is>
      </c>
      <c r="D376" t="inlineStr">
        <is>
          <t>14345</t>
        </is>
      </c>
      <c r="G376" t="inlineStr">
        <is>
          <t>M29112</t>
        </is>
      </c>
      <c r="H376" t="inlineStr">
        <is>
          <t>E0994</t>
        </is>
      </c>
      <c r="I376" t="inlineStr">
        <is>
          <t>E09947M</t>
        </is>
      </c>
      <c r="J376" t="inlineStr">
        <is>
          <t>MACHINE GUN,GRENADE - MK19 MOD 3</t>
        </is>
      </c>
      <c r="K376" t="inlineStr">
        <is>
          <t>IS</t>
        </is>
      </c>
      <c r="L376" t="inlineStr">
        <is>
          <t>EA</t>
        </is>
      </c>
      <c r="M376" t="inlineStr">
        <is>
          <t>M</t>
        </is>
      </c>
      <c r="N376" t="n">
        <v>0</v>
      </c>
      <c r="O376" t="n">
        <v>2</v>
      </c>
      <c r="P376" t="n">
        <v>2</v>
      </c>
    </row>
    <row r="377">
      <c r="B377" t="n">
        <v>373</v>
      </c>
      <c r="C377" t="inlineStr">
        <is>
          <t>14345</t>
        </is>
      </c>
      <c r="D377" t="inlineStr">
        <is>
          <t>14345</t>
        </is>
      </c>
      <c r="G377" t="inlineStr">
        <is>
          <t>M29112</t>
        </is>
      </c>
      <c r="H377" t="inlineStr">
        <is>
          <t>E1120</t>
        </is>
      </c>
      <c r="I377" t="inlineStr">
        <is>
          <t>E11202B</t>
        </is>
      </c>
      <c r="J377" t="inlineStr">
        <is>
          <t>MOUNT,TRIPOD,MACHIN - M122A1</t>
        </is>
      </c>
      <c r="K377" t="inlineStr">
        <is>
          <t>IS</t>
        </is>
      </c>
      <c r="L377" t="inlineStr">
        <is>
          <t>EA</t>
        </is>
      </c>
      <c r="M377" t="inlineStr">
        <is>
          <t>N</t>
        </is>
      </c>
      <c r="N377" t="n">
        <v>0</v>
      </c>
      <c r="O377" t="n">
        <v>5</v>
      </c>
      <c r="P377" t="n">
        <v>5</v>
      </c>
    </row>
    <row r="378">
      <c r="B378" t="n">
        <v>374</v>
      </c>
      <c r="C378" t="inlineStr">
        <is>
          <t>14345</t>
        </is>
      </c>
      <c r="D378" t="inlineStr">
        <is>
          <t>14345</t>
        </is>
      </c>
      <c r="G378" t="inlineStr">
        <is>
          <t>M29112</t>
        </is>
      </c>
      <c r="H378" t="inlineStr">
        <is>
          <t>E1123</t>
        </is>
      </c>
      <c r="I378" t="inlineStr">
        <is>
          <t>E11232B</t>
        </is>
      </c>
      <c r="J378" t="inlineStr">
        <is>
          <t>MOUNT,GUN - MK93 MOD2</t>
        </is>
      </c>
      <c r="K378" t="inlineStr">
        <is>
          <t>IS</t>
        </is>
      </c>
      <c r="L378" t="inlineStr">
        <is>
          <t>EA</t>
        </is>
      </c>
      <c r="M378" t="inlineStr">
        <is>
          <t>N</t>
        </is>
      </c>
      <c r="N378" t="n">
        <v>0</v>
      </c>
      <c r="O378" t="n">
        <v>6</v>
      </c>
      <c r="P378" t="n">
        <v>6</v>
      </c>
    </row>
    <row r="379">
      <c r="B379" t="n">
        <v>375</v>
      </c>
      <c r="C379" t="inlineStr">
        <is>
          <t>14345</t>
        </is>
      </c>
      <c r="D379" t="inlineStr">
        <is>
          <t>14345</t>
        </is>
      </c>
      <c r="G379" t="inlineStr">
        <is>
          <t>M29112</t>
        </is>
      </c>
      <c r="H379" t="inlineStr">
        <is>
          <t>E1126</t>
        </is>
      </c>
      <c r="I379" t="inlineStr">
        <is>
          <t>E11262B</t>
        </is>
      </c>
      <c r="J379" t="inlineStr">
        <is>
          <t>MOUNT,TRIPOD,MACHIN - M3</t>
        </is>
      </c>
      <c r="K379" t="inlineStr">
        <is>
          <t>IS</t>
        </is>
      </c>
      <c r="L379" t="inlineStr">
        <is>
          <t>EA</t>
        </is>
      </c>
      <c r="M379" t="inlineStr">
        <is>
          <t>N</t>
        </is>
      </c>
      <c r="N379" t="n">
        <v>0</v>
      </c>
      <c r="O379" t="n">
        <v>4</v>
      </c>
      <c r="P379" t="n">
        <v>4</v>
      </c>
    </row>
    <row r="380">
      <c r="B380" t="n">
        <v>376</v>
      </c>
      <c r="C380" t="inlineStr">
        <is>
          <t>14345</t>
        </is>
      </c>
      <c r="D380" t="inlineStr">
        <is>
          <t>14345</t>
        </is>
      </c>
      <c r="G380" t="inlineStr">
        <is>
          <t>M29112</t>
        </is>
      </c>
      <c r="H380" t="inlineStr">
        <is>
          <t>E1154</t>
        </is>
      </c>
      <c r="I380" t="inlineStr">
        <is>
          <t>E11542B</t>
        </is>
      </c>
      <c r="J380" t="inlineStr">
        <is>
          <t>VIEWER,NIGHT VISION - AN/PVS14</t>
        </is>
      </c>
      <c r="K380" t="inlineStr">
        <is>
          <t>IS</t>
        </is>
      </c>
      <c r="L380" t="inlineStr">
        <is>
          <t>EA</t>
        </is>
      </c>
      <c r="M380" t="inlineStr">
        <is>
          <t>N</t>
        </is>
      </c>
      <c r="N380" t="n">
        <v>0</v>
      </c>
      <c r="O380" t="n">
        <v>63</v>
      </c>
      <c r="P380" t="n">
        <v>63</v>
      </c>
    </row>
    <row r="381">
      <c r="B381" t="n">
        <v>377</v>
      </c>
      <c r="C381" t="inlineStr">
        <is>
          <t>14345</t>
        </is>
      </c>
      <c r="D381" t="inlineStr">
        <is>
          <t>14345</t>
        </is>
      </c>
      <c r="G381" t="inlineStr">
        <is>
          <t>M29112</t>
        </is>
      </c>
      <c r="H381" t="inlineStr">
        <is>
          <t>E1160</t>
        </is>
      </c>
      <c r="I381" t="inlineStr">
        <is>
          <t>E11607G</t>
        </is>
      </c>
      <c r="J381" t="inlineStr">
        <is>
          <t>NIGHT VISION SIGHT - AN/PVS-17C</t>
        </is>
      </c>
      <c r="K381" t="inlineStr">
        <is>
          <t>IS</t>
        </is>
      </c>
      <c r="L381" t="inlineStr">
        <is>
          <t>EA</t>
        </is>
      </c>
      <c r="M381" t="inlineStr">
        <is>
          <t>N</t>
        </is>
      </c>
      <c r="N381" t="n">
        <v>5</v>
      </c>
      <c r="O381" t="n">
        <v>0</v>
      </c>
      <c r="P381" t="n">
        <v>5</v>
      </c>
    </row>
    <row r="382">
      <c r="B382" t="n">
        <v>378</v>
      </c>
      <c r="C382" t="inlineStr">
        <is>
          <t>14345</t>
        </is>
      </c>
      <c r="D382" t="inlineStr">
        <is>
          <t>14345</t>
        </is>
      </c>
      <c r="G382" t="inlineStr">
        <is>
          <t>M29112</t>
        </is>
      </c>
      <c r="H382" t="inlineStr">
        <is>
          <t>E1442</t>
        </is>
      </c>
      <c r="I382" t="inlineStr">
        <is>
          <t>E14422M</t>
        </is>
      </c>
      <c r="J382" t="inlineStr">
        <is>
          <t>RIFLE,5.56 MILLIMET - M16A4</t>
        </is>
      </c>
      <c r="K382" t="inlineStr">
        <is>
          <t>IS</t>
        </is>
      </c>
      <c r="L382" t="inlineStr">
        <is>
          <t>EA</t>
        </is>
      </c>
      <c r="M382" t="inlineStr">
        <is>
          <t>N</t>
        </is>
      </c>
      <c r="N382" t="n">
        <v>37</v>
      </c>
      <c r="O382" t="n">
        <v>0</v>
      </c>
      <c r="P382" t="n">
        <v>37</v>
      </c>
    </row>
    <row r="383">
      <c r="B383" t="n">
        <v>379</v>
      </c>
      <c r="C383" t="inlineStr">
        <is>
          <t>14345</t>
        </is>
      </c>
      <c r="D383" t="inlineStr">
        <is>
          <t>14345</t>
        </is>
      </c>
      <c r="G383" t="inlineStr">
        <is>
          <t>M29112</t>
        </is>
      </c>
      <c r="H383" t="inlineStr">
        <is>
          <t>E1710</t>
        </is>
      </c>
      <c r="I383" t="inlineStr">
        <is>
          <t>E17102B</t>
        </is>
      </c>
      <c r="J383" t="inlineStr">
        <is>
          <t>SIGHT,BORE,OPTICAL - TA31RCO-A4</t>
        </is>
      </c>
      <c r="K383" t="inlineStr">
        <is>
          <t>IS</t>
        </is>
      </c>
      <c r="L383" t="inlineStr">
        <is>
          <t>EA</t>
        </is>
      </c>
      <c r="M383" t="inlineStr">
        <is>
          <t>N</t>
        </is>
      </c>
      <c r="N383" t="n">
        <v>37</v>
      </c>
      <c r="O383" t="n">
        <v>0</v>
      </c>
      <c r="P383" t="n">
        <v>37</v>
      </c>
    </row>
    <row r="384">
      <c r="B384" t="n">
        <v>380</v>
      </c>
      <c r="C384" t="inlineStr">
        <is>
          <t>14345</t>
        </is>
      </c>
      <c r="D384" t="inlineStr">
        <is>
          <t>14345</t>
        </is>
      </c>
      <c r="G384" t="inlineStr">
        <is>
          <t>M29112</t>
        </is>
      </c>
      <c r="H384" t="inlineStr">
        <is>
          <t>E1798</t>
        </is>
      </c>
      <c r="I384" t="inlineStr">
        <is>
          <t>E17982G</t>
        </is>
      </c>
      <c r="J384" t="inlineStr">
        <is>
          <t>ILLUMINATOR,INFRARE - AN/PEQ-15</t>
        </is>
      </c>
      <c r="K384" t="inlineStr">
        <is>
          <t>IS</t>
        </is>
      </c>
      <c r="L384" t="inlineStr">
        <is>
          <t>EA</t>
        </is>
      </c>
      <c r="M384" t="inlineStr">
        <is>
          <t>N</t>
        </is>
      </c>
      <c r="N384" t="n">
        <v>68</v>
      </c>
      <c r="O384" t="n">
        <v>0</v>
      </c>
      <c r="P384" t="n">
        <v>68</v>
      </c>
    </row>
    <row r="385">
      <c r="B385" t="n">
        <v>381</v>
      </c>
      <c r="C385" t="inlineStr">
        <is>
          <t>14345</t>
        </is>
      </c>
      <c r="D385" t="inlineStr">
        <is>
          <t>14345</t>
        </is>
      </c>
      <c r="G385" t="inlineStr">
        <is>
          <t>M29112</t>
        </is>
      </c>
      <c r="H385" t="inlineStr">
        <is>
          <t>E1975</t>
        </is>
      </c>
      <c r="I385" t="inlineStr">
        <is>
          <t>E19757G</t>
        </is>
      </c>
      <c r="J385" t="inlineStr">
        <is>
          <t>SIGHT,THERMAL - AN/PAS13D(V2)</t>
        </is>
      </c>
      <c r="K385" t="inlineStr">
        <is>
          <t>IS</t>
        </is>
      </c>
      <c r="L385" t="inlineStr">
        <is>
          <t>EA</t>
        </is>
      </c>
      <c r="M385" t="inlineStr">
        <is>
          <t>R</t>
        </is>
      </c>
      <c r="N385" t="n">
        <v>5</v>
      </c>
      <c r="O385" t="n">
        <v>0</v>
      </c>
      <c r="P385" t="n">
        <v>5</v>
      </c>
    </row>
    <row r="386">
      <c r="B386" t="n">
        <v>382</v>
      </c>
      <c r="C386" t="inlineStr">
        <is>
          <t>14345</t>
        </is>
      </c>
      <c r="D386" t="inlineStr">
        <is>
          <t>14345</t>
        </is>
      </c>
      <c r="G386" t="inlineStr">
        <is>
          <t>M29112</t>
        </is>
      </c>
      <c r="H386" t="inlineStr">
        <is>
          <t>E1976</t>
        </is>
      </c>
      <c r="I386" t="inlineStr">
        <is>
          <t>E19767G</t>
        </is>
      </c>
      <c r="J386" t="inlineStr">
        <is>
          <t>SIGHT,THERMAL - AN/PAS13D(V3)</t>
        </is>
      </c>
      <c r="K386" t="inlineStr">
        <is>
          <t>IS</t>
        </is>
      </c>
      <c r="L386" t="inlineStr">
        <is>
          <t>EA</t>
        </is>
      </c>
      <c r="M386" t="inlineStr">
        <is>
          <t>R</t>
        </is>
      </c>
      <c r="N386" t="n">
        <v>2</v>
      </c>
      <c r="O386" t="n">
        <v>0</v>
      </c>
      <c r="P386" t="n">
        <v>2</v>
      </c>
    </row>
    <row r="387">
      <c r="B387" t="n">
        <v>383</v>
      </c>
      <c r="C387" t="inlineStr">
        <is>
          <t>21710</t>
        </is>
      </c>
      <c r="D387" t="inlineStr">
        <is>
          <t>21710</t>
        </is>
      </c>
      <c r="G387" t="inlineStr">
        <is>
          <t>M29112</t>
        </is>
      </c>
      <c r="H387" t="inlineStr">
        <is>
          <t>A1260</t>
        </is>
      </c>
      <c r="I387" t="inlineStr">
        <is>
          <t>A12607GK</t>
        </is>
      </c>
      <c r="J387" t="inlineStr">
        <is>
          <t>NAVIGATION SET,SATE - AN/PSN-13(A)</t>
        </is>
      </c>
      <c r="K387" t="inlineStr">
        <is>
          <t>IS</t>
        </is>
      </c>
      <c r="L387" t="inlineStr">
        <is>
          <t>EA</t>
        </is>
      </c>
      <c r="M387" t="inlineStr"/>
      <c r="N387" t="n">
        <v>0</v>
      </c>
      <c r="O387" t="n">
        <v>1</v>
      </c>
      <c r="P387" t="n">
        <v>1</v>
      </c>
    </row>
    <row r="388">
      <c r="B388" t="n">
        <v>384</v>
      </c>
      <c r="C388" t="inlineStr">
        <is>
          <t>21710</t>
        </is>
      </c>
      <c r="D388" t="inlineStr">
        <is>
          <t>21710</t>
        </is>
      </c>
      <c r="G388" t="inlineStr">
        <is>
          <t>M29112</t>
        </is>
      </c>
      <c r="H388" t="inlineStr">
        <is>
          <t>A1260</t>
        </is>
      </c>
      <c r="I388" t="inlineStr">
        <is>
          <t>A12607GL</t>
        </is>
      </c>
      <c r="J388" t="inlineStr">
        <is>
          <t>RECEIVER,RADIO NAVI - AN/PSN-13(B)</t>
        </is>
      </c>
      <c r="K388" t="inlineStr">
        <is>
          <t>DP</t>
        </is>
      </c>
      <c r="L388" t="inlineStr">
        <is>
          <t>EA</t>
        </is>
      </c>
      <c r="M388" t="inlineStr"/>
      <c r="N388" t="n">
        <v>0</v>
      </c>
      <c r="O388" t="n">
        <v>0</v>
      </c>
      <c r="P388" t="n">
        <v>0</v>
      </c>
    </row>
    <row r="389">
      <c r="B389" t="n">
        <v>385</v>
      </c>
      <c r="C389" t="inlineStr">
        <is>
          <t>14345</t>
        </is>
      </c>
      <c r="D389" t="inlineStr">
        <is>
          <t>14345</t>
        </is>
      </c>
      <c r="G389" t="inlineStr">
        <is>
          <t>M29112</t>
        </is>
      </c>
      <c r="H389" t="inlineStr">
        <is>
          <t>A8084</t>
        </is>
      </c>
      <c r="I389" t="inlineStr">
        <is>
          <t>A80847GB</t>
        </is>
      </c>
      <c r="J389" t="inlineStr">
        <is>
          <t>ENCRYPTION-DECRYPTI - KIV-7M</t>
        </is>
      </c>
      <c r="K389" t="inlineStr">
        <is>
          <t>IS</t>
        </is>
      </c>
      <c r="L389" t="inlineStr">
        <is>
          <t>EA</t>
        </is>
      </c>
      <c r="M389" t="inlineStr"/>
      <c r="N389" t="n">
        <v>0</v>
      </c>
      <c r="O389" t="n">
        <v>2</v>
      </c>
      <c r="P389" t="n">
        <v>2</v>
      </c>
    </row>
    <row r="390">
      <c r="B390" t="n">
        <v>386</v>
      </c>
      <c r="C390" t="inlineStr">
        <is>
          <t>14345</t>
        </is>
      </c>
      <c r="D390" t="inlineStr">
        <is>
          <t>14345</t>
        </is>
      </c>
      <c r="G390" t="inlineStr">
        <is>
          <t>M29112</t>
        </is>
      </c>
      <c r="H390" t="inlineStr">
        <is>
          <t>A8088</t>
        </is>
      </c>
      <c r="I390" t="inlineStr">
        <is>
          <t>A80887GB</t>
        </is>
      </c>
      <c r="J390" t="inlineStr">
        <is>
          <t>ENCRYPTION-DECRYPTI - KG-175D</t>
        </is>
      </c>
      <c r="K390" t="inlineStr">
        <is>
          <t>IS</t>
        </is>
      </c>
      <c r="L390" t="inlineStr">
        <is>
          <t>EA</t>
        </is>
      </c>
      <c r="M390" t="inlineStr"/>
      <c r="N390" t="n">
        <v>0</v>
      </c>
      <c r="O390" t="n">
        <v>2</v>
      </c>
      <c r="P390" t="n">
        <v>2</v>
      </c>
    </row>
    <row r="391">
      <c r="B391" t="n">
        <v>387</v>
      </c>
      <c r="C391" t="inlineStr">
        <is>
          <t>61072</t>
        </is>
      </c>
      <c r="D391" t="inlineStr">
        <is>
          <t>61072</t>
        </is>
      </c>
      <c r="G391" t="inlineStr">
        <is>
          <t>M29112</t>
        </is>
      </c>
      <c r="H391" t="inlineStr">
        <is>
          <t>A9025</t>
        </is>
      </c>
      <c r="I391" t="inlineStr">
        <is>
          <t>A90257GB</t>
        </is>
      </c>
      <c r="J391" t="inlineStr">
        <is>
          <t>COMPUTER,SERVER - SEVERAL</t>
        </is>
      </c>
      <c r="K391" t="inlineStr">
        <is>
          <t>DP</t>
        </is>
      </c>
      <c r="L391" t="inlineStr">
        <is>
          <t>EA</t>
        </is>
      </c>
      <c r="M391" t="inlineStr"/>
      <c r="N391" t="n">
        <v>0</v>
      </c>
      <c r="O391" t="n">
        <v>2</v>
      </c>
      <c r="P391" t="n">
        <v>2</v>
      </c>
    </row>
    <row r="392">
      <c r="B392" t="n">
        <v>388</v>
      </c>
      <c r="C392" t="inlineStr">
        <is>
          <t>61072</t>
        </is>
      </c>
      <c r="D392" t="inlineStr">
        <is>
          <t>61072</t>
        </is>
      </c>
      <c r="G392" t="inlineStr">
        <is>
          <t>M29112</t>
        </is>
      </c>
      <c r="H392" t="inlineStr">
        <is>
          <t>A9100</t>
        </is>
      </c>
      <c r="I392" t="inlineStr">
        <is>
          <t>A91007GL</t>
        </is>
      </c>
      <c r="J392" t="inlineStr">
        <is>
          <t>COMPUTER SYSTEM,DIG - SEVERAL</t>
        </is>
      </c>
      <c r="K392" t="inlineStr">
        <is>
          <t>DP</t>
        </is>
      </c>
      <c r="L392" t="inlineStr">
        <is>
          <t>EA</t>
        </is>
      </c>
      <c r="M392" t="inlineStr"/>
      <c r="N392" t="n">
        <v>0</v>
      </c>
      <c r="O392" t="n">
        <v>0</v>
      </c>
      <c r="P392" t="n">
        <v>0</v>
      </c>
    </row>
    <row r="393">
      <c r="B393" t="n">
        <v>389</v>
      </c>
      <c r="C393" t="inlineStr">
        <is>
          <t>61072</t>
        </is>
      </c>
      <c r="D393" t="inlineStr">
        <is>
          <t>61072</t>
        </is>
      </c>
      <c r="G393" t="inlineStr">
        <is>
          <t>M29112</t>
        </is>
      </c>
      <c r="H393" t="inlineStr">
        <is>
          <t>A9100</t>
        </is>
      </c>
      <c r="I393" t="inlineStr">
        <is>
          <t>A91007GM</t>
        </is>
      </c>
      <c r="J393" t="inlineStr">
        <is>
          <t>COMPUTER SYSTEM,DIG - 210-AFUC</t>
        </is>
      </c>
      <c r="K393" t="inlineStr">
        <is>
          <t>DP</t>
        </is>
      </c>
      <c r="L393" t="inlineStr">
        <is>
          <t>EA</t>
        </is>
      </c>
      <c r="M393" t="inlineStr"/>
      <c r="N393" t="n">
        <v>0</v>
      </c>
      <c r="O393" t="n">
        <v>1</v>
      </c>
      <c r="P393" t="n">
        <v>1</v>
      </c>
    </row>
    <row r="394">
      <c r="B394" t="n">
        <v>390</v>
      </c>
      <c r="C394" t="inlineStr">
        <is>
          <t>21730</t>
        </is>
      </c>
      <c r="D394" t="inlineStr">
        <is>
          <t>21730</t>
        </is>
      </c>
      <c r="G394" t="inlineStr">
        <is>
          <t>M29112</t>
        </is>
      </c>
      <c r="H394" t="inlineStr">
        <is>
          <t>B0072</t>
        </is>
      </c>
      <c r="I394" t="inlineStr">
        <is>
          <t>B00727GA</t>
        </is>
      </c>
      <c r="J394" t="inlineStr">
        <is>
          <t>INSTRUMENT SET,RECO</t>
        </is>
      </c>
      <c r="K394" t="inlineStr">
        <is>
          <t>PL</t>
        </is>
      </c>
      <c r="L394" t="inlineStr">
        <is>
          <t>EA</t>
        </is>
      </c>
      <c r="M394" t="inlineStr"/>
      <c r="N394" t="n">
        <v>0</v>
      </c>
      <c r="O394" t="n">
        <v>1</v>
      </c>
      <c r="P394" t="n">
        <v>1</v>
      </c>
    </row>
    <row r="395">
      <c r="B395" t="n">
        <v>391</v>
      </c>
      <c r="C395" t="inlineStr">
        <is>
          <t>21710</t>
        </is>
      </c>
      <c r="D395" t="inlineStr">
        <is>
          <t>21710</t>
        </is>
      </c>
      <c r="G395" t="inlineStr">
        <is>
          <t>M29112</t>
        </is>
      </c>
      <c r="H395" t="inlineStr">
        <is>
          <t>B0215</t>
        </is>
      </c>
      <c r="I395" t="inlineStr">
        <is>
          <t>B02157BA</t>
        </is>
      </c>
      <c r="J395" t="inlineStr">
        <is>
          <t>BUCKET,MULTI-PURPOS - 4 IN 1 2 1/2 YD</t>
        </is>
      </c>
      <c r="K395" t="inlineStr">
        <is>
          <t>IS</t>
        </is>
      </c>
      <c r="L395" t="inlineStr">
        <is>
          <t>EA</t>
        </is>
      </c>
      <c r="M395" t="inlineStr"/>
      <c r="N395" t="n">
        <v>0</v>
      </c>
      <c r="O395" t="n">
        <v>1</v>
      </c>
      <c r="P395" t="n">
        <v>1</v>
      </c>
    </row>
    <row r="396">
      <c r="B396" t="n">
        <v>392</v>
      </c>
      <c r="C396" t="inlineStr">
        <is>
          <t>21710</t>
        </is>
      </c>
      <c r="D396" t="inlineStr">
        <is>
          <t>21710</t>
        </is>
      </c>
      <c r="G396" t="inlineStr">
        <is>
          <t>M29112</t>
        </is>
      </c>
      <c r="H396" t="inlineStr">
        <is>
          <t>B0647</t>
        </is>
      </c>
      <c r="I396" t="inlineStr">
        <is>
          <t>B06477BA</t>
        </is>
      </c>
      <c r="J396" t="inlineStr">
        <is>
          <t>FORK,3-WAY,HYDRAULI - 91002060</t>
        </is>
      </c>
      <c r="K396" t="inlineStr">
        <is>
          <t>IS</t>
        </is>
      </c>
      <c r="L396" t="inlineStr">
        <is>
          <t>EA</t>
        </is>
      </c>
      <c r="M396" t="inlineStr"/>
      <c r="N396" t="n">
        <v>0</v>
      </c>
      <c r="O396" t="n">
        <v>1</v>
      </c>
      <c r="P396" t="n">
        <v>1</v>
      </c>
    </row>
    <row r="397">
      <c r="B397" t="n">
        <v>393</v>
      </c>
      <c r="C397" t="inlineStr">
        <is>
          <t>21710</t>
        </is>
      </c>
      <c r="D397" t="inlineStr">
        <is>
          <t>21710</t>
        </is>
      </c>
      <c r="G397" t="inlineStr">
        <is>
          <t>M29112</t>
        </is>
      </c>
      <c r="H397" t="inlineStr">
        <is>
          <t>B2130</t>
        </is>
      </c>
      <c r="I397" t="inlineStr">
        <is>
          <t>B21307BB</t>
        </is>
      </c>
      <c r="J397" t="inlineStr">
        <is>
          <t>TANK,WATER,3000 GAL - RCF-3K-W-OT</t>
        </is>
      </c>
      <c r="K397" t="inlineStr">
        <is>
          <t>IS</t>
        </is>
      </c>
      <c r="L397" t="inlineStr">
        <is>
          <t>EA</t>
        </is>
      </c>
      <c r="M397" t="inlineStr"/>
      <c r="N397" t="n">
        <v>0</v>
      </c>
      <c r="O397" t="n">
        <v>2</v>
      </c>
      <c r="P397" t="n">
        <v>2</v>
      </c>
    </row>
    <row r="398">
      <c r="B398" t="n">
        <v>394</v>
      </c>
      <c r="C398" t="inlineStr">
        <is>
          <t>21710</t>
        </is>
      </c>
      <c r="D398" t="inlineStr">
        <is>
          <t>21710</t>
        </is>
      </c>
      <c r="G398" t="inlineStr">
        <is>
          <t>M29112</t>
        </is>
      </c>
      <c r="H398" t="inlineStr">
        <is>
          <t>B2130</t>
        </is>
      </c>
      <c r="I398" t="inlineStr">
        <is>
          <t>B21307BD</t>
        </is>
      </c>
      <c r="J398" t="inlineStr">
        <is>
          <t>TANK,FABRIC,COLLAPS - RCF-3K-W-OT</t>
        </is>
      </c>
      <c r="K398" t="inlineStr">
        <is>
          <t>IS</t>
        </is>
      </c>
      <c r="L398" t="inlineStr">
        <is>
          <t>EA</t>
        </is>
      </c>
      <c r="M398" t="inlineStr"/>
      <c r="N398" t="n">
        <v>0</v>
      </c>
      <c r="O398" t="n">
        <v>2</v>
      </c>
      <c r="P398" t="n">
        <v>2</v>
      </c>
    </row>
    <row r="399">
      <c r="B399" t="n">
        <v>395</v>
      </c>
      <c r="C399" t="inlineStr">
        <is>
          <t>44112</t>
        </is>
      </c>
      <c r="D399" t="inlineStr">
        <is>
          <t>44112</t>
        </is>
      </c>
      <c r="G399" t="inlineStr">
        <is>
          <t>M29112</t>
        </is>
      </c>
      <c r="H399" t="inlineStr">
        <is>
          <t>C0077</t>
        </is>
      </c>
      <c r="I399" t="inlineStr">
        <is>
          <t>C00772EA</t>
        </is>
      </c>
      <c r="J399" t="inlineStr">
        <is>
          <t>COLLAPSIBLE JMIC 3. - TAN</t>
        </is>
      </c>
      <c r="K399" t="inlineStr">
        <is>
          <t>IS</t>
        </is>
      </c>
      <c r="L399" t="inlineStr">
        <is>
          <t>EA</t>
        </is>
      </c>
      <c r="M399" t="inlineStr"/>
      <c r="N399" t="n">
        <v>0</v>
      </c>
      <c r="O399" t="n">
        <v>1</v>
      </c>
      <c r="P399" t="n">
        <v>1</v>
      </c>
    </row>
    <row r="400">
      <c r="B400" t="n">
        <v>396</v>
      </c>
      <c r="C400" t="inlineStr">
        <is>
          <t>44112</t>
        </is>
      </c>
      <c r="D400" t="inlineStr">
        <is>
          <t>44112</t>
        </is>
      </c>
      <c r="G400" t="inlineStr">
        <is>
          <t>M29112</t>
        </is>
      </c>
      <c r="H400" t="inlineStr">
        <is>
          <t>C0077</t>
        </is>
      </c>
      <c r="I400" t="inlineStr">
        <is>
          <t>C00772EB</t>
        </is>
      </c>
      <c r="J400" t="inlineStr">
        <is>
          <t>COLLAPSIBLE,JMIC 3. - 7517221-3</t>
        </is>
      </c>
      <c r="K400" t="inlineStr">
        <is>
          <t>IS</t>
        </is>
      </c>
      <c r="L400" t="inlineStr">
        <is>
          <t>EA</t>
        </is>
      </c>
      <c r="M400" t="inlineStr"/>
      <c r="N400" t="n">
        <v>0</v>
      </c>
      <c r="O400" t="n">
        <v>0</v>
      </c>
      <c r="P400" t="n">
        <v>0</v>
      </c>
    </row>
    <row r="401">
      <c r="B401" t="n">
        <v>397</v>
      </c>
      <c r="C401" t="inlineStr">
        <is>
          <t>44112</t>
        </is>
      </c>
      <c r="D401" t="inlineStr">
        <is>
          <t>44112</t>
        </is>
      </c>
      <c r="G401" t="inlineStr">
        <is>
          <t>M29112</t>
        </is>
      </c>
      <c r="H401" t="inlineStr">
        <is>
          <t>C4433</t>
        </is>
      </c>
      <c r="I401" t="inlineStr">
        <is>
          <t>C44332EA</t>
        </is>
      </c>
      <c r="J401" t="inlineStr">
        <is>
          <t>SHIPPING AND STORAG - SB812M</t>
        </is>
      </c>
      <c r="K401" t="inlineStr">
        <is>
          <t>IS</t>
        </is>
      </c>
      <c r="L401" t="inlineStr">
        <is>
          <t>EA</t>
        </is>
      </c>
      <c r="M401" t="inlineStr"/>
      <c r="N401" t="n">
        <v>0</v>
      </c>
      <c r="O401" t="n">
        <v>4</v>
      </c>
      <c r="P401" t="n">
        <v>4</v>
      </c>
    </row>
    <row r="402">
      <c r="B402" t="n">
        <v>398</v>
      </c>
      <c r="C402" t="inlineStr">
        <is>
          <t>44112</t>
        </is>
      </c>
      <c r="D402" t="inlineStr">
        <is>
          <t>44112</t>
        </is>
      </c>
      <c r="G402" t="inlineStr">
        <is>
          <t>M29112</t>
        </is>
      </c>
      <c r="H402" t="inlineStr">
        <is>
          <t>C4433</t>
        </is>
      </c>
      <c r="I402" t="inlineStr">
        <is>
          <t>C44332EB</t>
        </is>
      </c>
      <c r="J402" t="inlineStr">
        <is>
          <t>BOX,SHIPPING - CMCI115A</t>
        </is>
      </c>
      <c r="K402" t="inlineStr">
        <is>
          <t>IS</t>
        </is>
      </c>
      <c r="L402" t="inlineStr">
        <is>
          <t>EA</t>
        </is>
      </c>
      <c r="M402" t="inlineStr"/>
      <c r="N402" t="n">
        <v>0</v>
      </c>
      <c r="O402" t="n">
        <v>0</v>
      </c>
      <c r="P402" t="n">
        <v>0</v>
      </c>
    </row>
    <row r="403">
      <c r="B403" t="n">
        <v>399</v>
      </c>
      <c r="C403" t="inlineStr">
        <is>
          <t>21451</t>
        </is>
      </c>
      <c r="D403" t="inlineStr">
        <is>
          <t>21451</t>
        </is>
      </c>
      <c r="G403" t="inlineStr">
        <is>
          <t>M29112</t>
        </is>
      </c>
      <c r="H403" t="inlineStr">
        <is>
          <t>D0001</t>
        </is>
      </c>
      <c r="I403" t="inlineStr">
        <is>
          <t>D00012BA</t>
        </is>
      </c>
      <c r="J403" t="inlineStr">
        <is>
          <t>ACCESSORY KIT,VEHIC - 57K8831</t>
        </is>
      </c>
      <c r="K403" t="inlineStr">
        <is>
          <t>IS</t>
        </is>
      </c>
      <c r="L403" t="inlineStr">
        <is>
          <t>EA</t>
        </is>
      </c>
      <c r="M403" t="inlineStr"/>
      <c r="N403" t="n">
        <v>0</v>
      </c>
      <c r="O403" t="n">
        <v>0</v>
      </c>
      <c r="P403" t="n">
        <v>0</v>
      </c>
    </row>
    <row r="404">
      <c r="B404" t="n">
        <v>400</v>
      </c>
      <c r="C404" t="inlineStr">
        <is>
          <t>21451</t>
        </is>
      </c>
      <c r="D404" t="inlineStr">
        <is>
          <t>21451</t>
        </is>
      </c>
      <c r="G404" t="inlineStr">
        <is>
          <t>M29112</t>
        </is>
      </c>
      <c r="H404" t="inlineStr">
        <is>
          <t>D0001</t>
        </is>
      </c>
      <c r="I404" t="inlineStr">
        <is>
          <t>D00012BA</t>
        </is>
      </c>
      <c r="J404" t="inlineStr">
        <is>
          <t>ACCESSORY KIT,VEHIC - 57K8831</t>
        </is>
      </c>
      <c r="K404" t="inlineStr">
        <is>
          <t>IS</t>
        </is>
      </c>
      <c r="L404" t="inlineStr">
        <is>
          <t>EA</t>
        </is>
      </c>
      <c r="M404" t="inlineStr"/>
      <c r="N404" t="n">
        <v>0</v>
      </c>
      <c r="O404" t="n">
        <v>2</v>
      </c>
      <c r="P404" t="n">
        <v>2</v>
      </c>
    </row>
    <row r="405">
      <c r="B405" t="n">
        <v>401</v>
      </c>
      <c r="C405" t="inlineStr">
        <is>
          <t>21451</t>
        </is>
      </c>
      <c r="D405" t="inlineStr">
        <is>
          <t>21451</t>
        </is>
      </c>
      <c r="G405" t="inlineStr">
        <is>
          <t>M29112</t>
        </is>
      </c>
      <c r="H405" t="inlineStr">
        <is>
          <t>D0019</t>
        </is>
      </c>
      <c r="I405" t="inlineStr">
        <is>
          <t>D00192BA</t>
        </is>
      </c>
      <c r="J405" t="inlineStr">
        <is>
          <t>ACCESSORY KIT,VEHIC - 57K8832</t>
        </is>
      </c>
      <c r="K405" t="inlineStr">
        <is>
          <t>IS</t>
        </is>
      </c>
      <c r="L405" t="inlineStr">
        <is>
          <t>EA</t>
        </is>
      </c>
      <c r="M405" t="inlineStr"/>
      <c r="N405" t="n">
        <v>0</v>
      </c>
      <c r="O405" t="n">
        <v>2</v>
      </c>
      <c r="P405" t="n">
        <v>2</v>
      </c>
    </row>
    <row r="406">
      <c r="B406" t="n">
        <v>402</v>
      </c>
      <c r="C406" t="inlineStr">
        <is>
          <t>21710</t>
        </is>
      </c>
      <c r="D406" t="inlineStr">
        <is>
          <t>21710</t>
        </is>
      </c>
      <c r="G406" t="inlineStr">
        <is>
          <t>M29112</t>
        </is>
      </c>
      <c r="H406" t="inlineStr">
        <is>
          <t>D0045</t>
        </is>
      </c>
      <c r="I406" t="inlineStr">
        <is>
          <t>D00457KA</t>
        </is>
      </c>
      <c r="J406" t="inlineStr">
        <is>
          <t>TRUCK,UTILITY - M1280A1</t>
        </is>
      </c>
      <c r="K406" t="inlineStr">
        <is>
          <t>IS</t>
        </is>
      </c>
      <c r="L406" t="inlineStr">
        <is>
          <t>EA</t>
        </is>
      </c>
      <c r="M406" t="inlineStr"/>
      <c r="N406" t="n">
        <v>0</v>
      </c>
      <c r="O406" t="n">
        <v>0</v>
      </c>
      <c r="P406" t="n">
        <v>0</v>
      </c>
    </row>
    <row r="407">
      <c r="B407" t="n">
        <v>403</v>
      </c>
      <c r="C407" t="inlineStr">
        <is>
          <t>21710</t>
        </is>
      </c>
      <c r="D407" t="inlineStr">
        <is>
          <t>21710</t>
        </is>
      </c>
      <c r="G407" t="inlineStr">
        <is>
          <t>M29112</t>
        </is>
      </c>
      <c r="H407" t="inlineStr">
        <is>
          <t>D0058</t>
        </is>
      </c>
      <c r="I407" t="inlineStr">
        <is>
          <t>D00587KA</t>
        </is>
      </c>
      <c r="J407" t="inlineStr">
        <is>
          <t>TRAILER,CARGO</t>
        </is>
      </c>
      <c r="K407" t="inlineStr">
        <is>
          <t>IS</t>
        </is>
      </c>
      <c r="L407" t="inlineStr">
        <is>
          <t>EA</t>
        </is>
      </c>
      <c r="M407" t="inlineStr"/>
      <c r="N407" t="n">
        <v>0</v>
      </c>
      <c r="O407" t="n">
        <v>1</v>
      </c>
      <c r="P407" t="n">
        <v>1</v>
      </c>
    </row>
    <row r="408">
      <c r="B408" t="n">
        <v>404</v>
      </c>
      <c r="C408" t="inlineStr">
        <is>
          <t>21710</t>
        </is>
      </c>
      <c r="D408" t="inlineStr">
        <is>
          <t>21710</t>
        </is>
      </c>
      <c r="G408" t="inlineStr">
        <is>
          <t>M29112</t>
        </is>
      </c>
      <c r="H408" t="inlineStr">
        <is>
          <t>D1158</t>
        </is>
      </c>
      <c r="I408" t="inlineStr">
        <is>
          <t>D11587KK</t>
        </is>
      </c>
      <c r="J408" t="inlineStr">
        <is>
          <t>TRUCK,UTILITY - M1123</t>
        </is>
      </c>
      <c r="K408" t="inlineStr">
        <is>
          <t>IS</t>
        </is>
      </c>
      <c r="L408" t="inlineStr">
        <is>
          <t>EA</t>
        </is>
      </c>
      <c r="M408" t="inlineStr"/>
      <c r="N408" t="n">
        <v>0</v>
      </c>
      <c r="O408" t="n">
        <v>1</v>
      </c>
      <c r="P408" t="n">
        <v>1</v>
      </c>
    </row>
    <row r="409">
      <c r="B409" t="n">
        <v>405</v>
      </c>
      <c r="C409" t="inlineStr">
        <is>
          <t>14345</t>
        </is>
      </c>
      <c r="D409" t="inlineStr">
        <is>
          <t>14345</t>
        </is>
      </c>
      <c r="G409" t="inlineStr">
        <is>
          <t>M29112</t>
        </is>
      </c>
      <c r="H409" t="inlineStr">
        <is>
          <t>E0071</t>
        </is>
      </c>
      <c r="I409" t="inlineStr">
        <is>
          <t>E00712BA</t>
        </is>
      </c>
      <c r="J409" t="inlineStr">
        <is>
          <t>ARMOR SET,SUPPLEMEN - MCTAGS</t>
        </is>
      </c>
      <c r="K409" t="inlineStr">
        <is>
          <t>IS</t>
        </is>
      </c>
      <c r="L409" t="inlineStr">
        <is>
          <t>SE</t>
        </is>
      </c>
      <c r="M409" t="inlineStr"/>
      <c r="N409" t="n">
        <v>0</v>
      </c>
      <c r="O409" t="n">
        <v>0</v>
      </c>
      <c r="P409" t="n">
        <v>0</v>
      </c>
    </row>
    <row r="410">
      <c r="B410" t="n">
        <v>406</v>
      </c>
      <c r="C410" t="inlineStr">
        <is>
          <t>14345</t>
        </is>
      </c>
      <c r="D410" t="inlineStr">
        <is>
          <t>14345</t>
        </is>
      </c>
      <c r="G410" t="inlineStr">
        <is>
          <t>M29112</t>
        </is>
      </c>
      <c r="H410" t="inlineStr">
        <is>
          <t>E0071</t>
        </is>
      </c>
      <c r="I410" t="inlineStr">
        <is>
          <t>E00712BD</t>
        </is>
      </c>
      <c r="J410" t="inlineStr">
        <is>
          <t>PLATFORM,GUNNER,VEH - RH-GPK</t>
        </is>
      </c>
      <c r="K410" t="inlineStr">
        <is>
          <t>IS</t>
        </is>
      </c>
      <c r="L410" t="inlineStr">
        <is>
          <t>EA</t>
        </is>
      </c>
      <c r="M410" t="inlineStr"/>
      <c r="N410" t="n">
        <v>0</v>
      </c>
      <c r="O410" t="n">
        <v>2</v>
      </c>
      <c r="P410" t="n">
        <v>2</v>
      </c>
    </row>
    <row r="411">
      <c r="B411" t="n">
        <v>407</v>
      </c>
      <c r="C411" t="inlineStr">
        <is>
          <t>14345</t>
        </is>
      </c>
      <c r="D411" t="inlineStr">
        <is>
          <t>14345</t>
        </is>
      </c>
      <c r="G411" t="inlineStr">
        <is>
          <t>M29112</t>
        </is>
      </c>
      <c r="H411" t="inlineStr">
        <is>
          <t>E0071</t>
        </is>
      </c>
      <c r="I411" t="inlineStr">
        <is>
          <t>E00712BD</t>
        </is>
      </c>
      <c r="J411" t="inlineStr">
        <is>
          <t>PLATFORM,GUNNER,VEH - RH-GPK</t>
        </is>
      </c>
      <c r="K411" t="inlineStr">
        <is>
          <t>IS</t>
        </is>
      </c>
      <c r="L411" t="inlineStr">
        <is>
          <t>EA</t>
        </is>
      </c>
      <c r="M411" t="inlineStr"/>
      <c r="N411" t="n">
        <v>0</v>
      </c>
      <c r="O411" t="n">
        <v>4</v>
      </c>
      <c r="P411" t="n">
        <v>4</v>
      </c>
    </row>
    <row r="412">
      <c r="B412" t="n">
        <v>408</v>
      </c>
      <c r="C412" t="inlineStr">
        <is>
          <t>14345</t>
        </is>
      </c>
      <c r="D412" t="inlineStr">
        <is>
          <t>14345</t>
        </is>
      </c>
      <c r="G412" t="inlineStr">
        <is>
          <t>M29112</t>
        </is>
      </c>
      <c r="H412" t="inlineStr">
        <is>
          <t>E0071</t>
        </is>
      </c>
      <c r="I412" t="inlineStr">
        <is>
          <t>E00712BD</t>
        </is>
      </c>
      <c r="J412" t="inlineStr">
        <is>
          <t>PLATFORM,GUNNER,VEH - RH-GPK</t>
        </is>
      </c>
      <c r="K412" t="inlineStr">
        <is>
          <t>IS</t>
        </is>
      </c>
      <c r="L412" t="inlineStr">
        <is>
          <t>EA</t>
        </is>
      </c>
      <c r="M412" t="inlineStr"/>
      <c r="N412" t="n">
        <v>0</v>
      </c>
      <c r="O412" t="n">
        <v>6</v>
      </c>
      <c r="P412" t="n">
        <v>6</v>
      </c>
    </row>
    <row r="413">
      <c r="B413" t="n">
        <v>409</v>
      </c>
      <c r="C413" t="inlineStr">
        <is>
          <t>21451</t>
        </is>
      </c>
      <c r="D413" t="inlineStr">
        <is>
          <t>21451</t>
        </is>
      </c>
      <c r="G413" t="inlineStr">
        <is>
          <t>M29112</t>
        </is>
      </c>
      <c r="H413" t="inlineStr">
        <is>
          <t>H7030</t>
        </is>
      </c>
      <c r="I413" t="inlineStr">
        <is>
          <t>H70302BA</t>
        </is>
      </c>
      <c r="J413" t="inlineStr">
        <is>
          <t>MULTIMETER - 77/BN</t>
        </is>
      </c>
      <c r="K413" t="inlineStr">
        <is>
          <t>IS</t>
        </is>
      </c>
      <c r="L413" t="inlineStr">
        <is>
          <t>EA</t>
        </is>
      </c>
      <c r="M413" t="inlineStr"/>
      <c r="N413" t="n">
        <v>0</v>
      </c>
      <c r="O413" t="n">
        <v>1</v>
      </c>
      <c r="P413" t="n">
        <v>1</v>
      </c>
    </row>
    <row r="414">
      <c r="B414" t="n">
        <v>410</v>
      </c>
      <c r="C414" t="inlineStr">
        <is>
          <t>44112</t>
        </is>
      </c>
      <c r="D414" t="inlineStr">
        <is>
          <t>44112</t>
        </is>
      </c>
      <c r="G414" t="inlineStr">
        <is>
          <t>M29112</t>
        </is>
      </c>
      <c r="H414" t="inlineStr">
        <is>
          <t>J0006</t>
        </is>
      </c>
      <c r="I414" t="inlineStr">
        <is>
          <t>J00062BA</t>
        </is>
      </c>
      <c r="J414" t="inlineStr">
        <is>
          <t>SOLAR CELL PANEL</t>
        </is>
      </c>
      <c r="K414" t="inlineStr">
        <is>
          <t>IS</t>
        </is>
      </c>
      <c r="L414" t="inlineStr">
        <is>
          <t>EA</t>
        </is>
      </c>
      <c r="M414" t="inlineStr"/>
      <c r="N414" t="n">
        <v>0</v>
      </c>
      <c r="O414" t="n">
        <v>4</v>
      </c>
      <c r="P414" t="n">
        <v>4</v>
      </c>
    </row>
    <row r="415">
      <c r="B415" t="n">
        <v>411</v>
      </c>
      <c r="C415" t="inlineStr">
        <is>
          <t>44112</t>
        </is>
      </c>
      <c r="D415" t="inlineStr">
        <is>
          <t>44112</t>
        </is>
      </c>
      <c r="G415" t="inlineStr">
        <is>
          <t>M29112</t>
        </is>
      </c>
      <c r="H415" t="inlineStr">
        <is>
          <t>J3187</t>
        </is>
      </c>
      <c r="I415" t="inlineStr">
        <is>
          <t>J31872BA</t>
        </is>
      </c>
      <c r="J415" t="inlineStr">
        <is>
          <t>REPAIR KIT,PUNCTURE</t>
        </is>
      </c>
      <c r="K415" t="inlineStr">
        <is>
          <t>IS</t>
        </is>
      </c>
      <c r="L415" t="inlineStr">
        <is>
          <t>EA</t>
        </is>
      </c>
      <c r="M415" t="inlineStr"/>
      <c r="N415" t="n">
        <v>0</v>
      </c>
      <c r="O415" t="n">
        <v>1</v>
      </c>
      <c r="P415" t="n">
        <v>1</v>
      </c>
    </row>
    <row r="416">
      <c r="B416" t="n">
        <v>412</v>
      </c>
      <c r="C416" t="inlineStr">
        <is>
          <t>44112</t>
        </is>
      </c>
      <c r="D416" t="inlineStr">
        <is>
          <t>44112</t>
        </is>
      </c>
      <c r="G416" t="inlineStr">
        <is>
          <t>M29112</t>
        </is>
      </c>
      <c r="H416" t="inlineStr">
        <is>
          <t>K4128</t>
        </is>
      </c>
      <c r="I416" t="inlineStr">
        <is>
          <t>K41282EA</t>
        </is>
      </c>
      <c r="J416" t="inlineStr">
        <is>
          <t>CAN,MILITARY</t>
        </is>
      </c>
      <c r="K416" t="inlineStr">
        <is>
          <t>IS</t>
        </is>
      </c>
      <c r="L416" t="inlineStr">
        <is>
          <t>EA</t>
        </is>
      </c>
      <c r="M416" t="inlineStr"/>
      <c r="N416" t="n">
        <v>0</v>
      </c>
      <c r="O416" t="n">
        <v>2</v>
      </c>
      <c r="P416" t="n">
        <v>2</v>
      </c>
    </row>
    <row r="417">
      <c r="B417" t="n">
        <v>413</v>
      </c>
      <c r="C417" t="inlineStr">
        <is>
          <t>44112</t>
        </is>
      </c>
      <c r="D417" t="inlineStr">
        <is>
          <t>44112</t>
        </is>
      </c>
      <c r="G417" t="inlineStr">
        <is>
          <t>M29112</t>
        </is>
      </c>
      <c r="H417" t="inlineStr">
        <is>
          <t>K4128</t>
        </is>
      </c>
      <c r="I417" t="inlineStr">
        <is>
          <t>K41282EA</t>
        </is>
      </c>
      <c r="J417" t="inlineStr">
        <is>
          <t>CAN,MILITARY</t>
        </is>
      </c>
      <c r="K417" t="inlineStr">
        <is>
          <t>IS</t>
        </is>
      </c>
      <c r="L417" t="inlineStr">
        <is>
          <t>EA</t>
        </is>
      </c>
      <c r="M417" t="inlineStr"/>
      <c r="N417" t="n">
        <v>0</v>
      </c>
      <c r="O417" t="n">
        <v>4</v>
      </c>
      <c r="P417" t="n">
        <v>4</v>
      </c>
    </row>
    <row r="418">
      <c r="B418" t="n">
        <v>414</v>
      </c>
      <c r="C418" t="inlineStr">
        <is>
          <t>44112</t>
        </is>
      </c>
      <c r="D418" t="inlineStr">
        <is>
          <t>44112</t>
        </is>
      </c>
      <c r="G418" t="inlineStr">
        <is>
          <t>M29112</t>
        </is>
      </c>
      <c r="H418" t="inlineStr">
        <is>
          <t>K4250</t>
        </is>
      </c>
      <c r="I418" t="inlineStr">
        <is>
          <t>K42502EA</t>
        </is>
      </c>
      <c r="J418" t="inlineStr">
        <is>
          <t>CAN,MILITARY - N/A</t>
        </is>
      </c>
      <c r="K418" t="inlineStr">
        <is>
          <t>DP</t>
        </is>
      </c>
      <c r="L418" t="inlineStr">
        <is>
          <t>EA</t>
        </is>
      </c>
      <c r="M418" t="inlineStr"/>
      <c r="N418" t="n">
        <v>0</v>
      </c>
      <c r="O418" t="n">
        <v>2</v>
      </c>
      <c r="P418" t="n">
        <v>2</v>
      </c>
    </row>
    <row r="419">
      <c r="B419" t="n">
        <v>415</v>
      </c>
      <c r="C419" t="inlineStr">
        <is>
          <t>44112</t>
        </is>
      </c>
      <c r="D419" t="inlineStr">
        <is>
          <t>44112</t>
        </is>
      </c>
      <c r="G419" t="inlineStr">
        <is>
          <t>M29112</t>
        </is>
      </c>
      <c r="H419" t="inlineStr">
        <is>
          <t>K5060</t>
        </is>
      </c>
      <c r="I419" t="inlineStr">
        <is>
          <t>K50602TA</t>
        </is>
      </c>
      <c r="J419" t="inlineStr">
        <is>
          <t>WRENCH,IMPACT,PNEUM</t>
        </is>
      </c>
      <c r="K419" t="inlineStr">
        <is>
          <t>IS</t>
        </is>
      </c>
      <c r="L419" t="inlineStr">
        <is>
          <t>EA</t>
        </is>
      </c>
      <c r="M419" t="inlineStr"/>
      <c r="N419" t="n">
        <v>0</v>
      </c>
      <c r="O419" t="n">
        <v>1</v>
      </c>
      <c r="P419" t="n">
        <v>1</v>
      </c>
    </row>
    <row r="420">
      <c r="B420" t="n">
        <v>416</v>
      </c>
      <c r="C420" t="inlineStr">
        <is>
          <t>21451</t>
        </is>
      </c>
      <c r="D420" t="inlineStr">
        <is>
          <t>21451</t>
        </is>
      </c>
      <c r="G420" t="inlineStr">
        <is>
          <t>M29112</t>
        </is>
      </c>
      <c r="H420" t="inlineStr">
        <is>
          <t>M5030</t>
        </is>
      </c>
      <c r="I420" t="inlineStr">
        <is>
          <t>M50302EA</t>
        </is>
      </c>
      <c r="J420" t="inlineStr">
        <is>
          <t>TOWBAR,MOTOR VEHICL - 3428515</t>
        </is>
      </c>
      <c r="K420" t="inlineStr">
        <is>
          <t>IS</t>
        </is>
      </c>
      <c r="L420" t="inlineStr">
        <is>
          <t>EA</t>
        </is>
      </c>
      <c r="M420" t="inlineStr"/>
      <c r="N420" t="n">
        <v>0</v>
      </c>
      <c r="O420" t="n">
        <v>1</v>
      </c>
      <c r="P420" t="n">
        <v>1</v>
      </c>
    </row>
    <row r="421">
      <c r="B421" t="n">
        <v>417</v>
      </c>
      <c r="C421" t="inlineStr">
        <is>
          <t>21710</t>
        </is>
      </c>
      <c r="D421" t="inlineStr">
        <is>
          <t>21710</t>
        </is>
      </c>
      <c r="G421" t="inlineStr">
        <is>
          <t>M29113</t>
        </is>
      </c>
      <c r="H421" t="inlineStr">
        <is>
          <t>A0067</t>
        </is>
      </c>
      <c r="I421" t="inlineStr">
        <is>
          <t>A00677G</t>
        </is>
      </c>
      <c r="J421" t="inlineStr">
        <is>
          <t>RADIO SET - AN/MRC-148A</t>
        </is>
      </c>
      <c r="K421" t="inlineStr">
        <is>
          <t>IS</t>
        </is>
      </c>
      <c r="L421" t="inlineStr">
        <is>
          <t>EA</t>
        </is>
      </c>
      <c r="M421" t="inlineStr">
        <is>
          <t>M</t>
        </is>
      </c>
      <c r="N421" t="n">
        <v>0</v>
      </c>
      <c r="O421" t="n">
        <v>1</v>
      </c>
      <c r="P421" t="n">
        <v>1</v>
      </c>
    </row>
    <row r="422">
      <c r="B422" t="n">
        <v>418</v>
      </c>
      <c r="C422" t="inlineStr">
        <is>
          <t>21710</t>
        </is>
      </c>
      <c r="D422" t="inlineStr">
        <is>
          <t>21710</t>
        </is>
      </c>
      <c r="G422" t="inlineStr">
        <is>
          <t>M29113</t>
        </is>
      </c>
      <c r="H422" t="inlineStr">
        <is>
          <t>A0073</t>
        </is>
      </c>
      <c r="I422" t="inlineStr">
        <is>
          <t>A00732B</t>
        </is>
      </c>
      <c r="J422" t="inlineStr">
        <is>
          <t>CHARGER,BATTERY - BTC-70100</t>
        </is>
      </c>
      <c r="K422" t="inlineStr">
        <is>
          <t>IS</t>
        </is>
      </c>
      <c r="L422" t="inlineStr">
        <is>
          <t>EA</t>
        </is>
      </c>
      <c r="M422" t="inlineStr">
        <is>
          <t>N</t>
        </is>
      </c>
      <c r="N422" t="n">
        <v>0</v>
      </c>
      <c r="O422" t="n">
        <v>1</v>
      </c>
      <c r="P422" t="n">
        <v>1</v>
      </c>
    </row>
    <row r="423">
      <c r="B423" t="n">
        <v>419</v>
      </c>
      <c r="C423" t="inlineStr">
        <is>
          <t>21710</t>
        </is>
      </c>
      <c r="D423" t="inlineStr">
        <is>
          <t>21710</t>
        </is>
      </c>
      <c r="G423" t="inlineStr">
        <is>
          <t>M29113</t>
        </is>
      </c>
      <c r="H423" t="inlineStr">
        <is>
          <t>A0139</t>
        </is>
      </c>
      <c r="I423" t="inlineStr">
        <is>
          <t>A01397G</t>
        </is>
      </c>
      <c r="J423" t="inlineStr">
        <is>
          <t>RADIO SET - AN/TRC-209A(C)V1</t>
        </is>
      </c>
      <c r="K423" t="inlineStr">
        <is>
          <t>IS</t>
        </is>
      </c>
      <c r="L423" t="inlineStr">
        <is>
          <t>EA</t>
        </is>
      </c>
      <c r="M423" t="inlineStr">
        <is>
          <t>R</t>
        </is>
      </c>
      <c r="N423" t="n">
        <v>0</v>
      </c>
      <c r="O423" t="n">
        <v>1</v>
      </c>
      <c r="P423" t="n">
        <v>1</v>
      </c>
    </row>
    <row r="424">
      <c r="B424" t="n">
        <v>420</v>
      </c>
      <c r="C424" t="inlineStr">
        <is>
          <t>21710</t>
        </is>
      </c>
      <c r="D424" t="inlineStr">
        <is>
          <t>21710</t>
        </is>
      </c>
      <c r="G424" t="inlineStr">
        <is>
          <t>M29113</t>
        </is>
      </c>
      <c r="H424" t="inlineStr">
        <is>
          <t>A0173</t>
        </is>
      </c>
      <c r="I424" t="inlineStr">
        <is>
          <t>A01737G</t>
        </is>
      </c>
      <c r="J424" t="inlineStr">
        <is>
          <t>SECURITY DATA SYSTE - AN/GSQ-274A</t>
        </is>
      </c>
      <c r="K424" t="inlineStr">
        <is>
          <t>IS</t>
        </is>
      </c>
      <c r="L424" t="inlineStr">
        <is>
          <t>EA</t>
        </is>
      </c>
      <c r="M424" t="inlineStr">
        <is>
          <t>M</t>
        </is>
      </c>
      <c r="N424" t="n">
        <v>0</v>
      </c>
      <c r="O424" t="n">
        <v>1</v>
      </c>
      <c r="P424" t="n">
        <v>1</v>
      </c>
    </row>
    <row r="425">
      <c r="B425" t="n">
        <v>421</v>
      </c>
      <c r="C425" t="inlineStr">
        <is>
          <t>21710</t>
        </is>
      </c>
      <c r="D425" t="inlineStr">
        <is>
          <t>21710</t>
        </is>
      </c>
      <c r="G425" t="inlineStr">
        <is>
          <t>M29113</t>
        </is>
      </c>
      <c r="H425" t="inlineStr">
        <is>
          <t>A0174</t>
        </is>
      </c>
      <c r="I425" t="inlineStr">
        <is>
          <t>A01747G</t>
        </is>
      </c>
      <c r="J425" t="inlineStr">
        <is>
          <t>SWITCHING SET,COMMU - AN/TYQ-148B</t>
        </is>
      </c>
      <c r="K425" t="inlineStr">
        <is>
          <t>IS</t>
        </is>
      </c>
      <c r="L425" t="inlineStr">
        <is>
          <t>EA</t>
        </is>
      </c>
      <c r="M425" t="inlineStr">
        <is>
          <t>M</t>
        </is>
      </c>
      <c r="N425" t="n">
        <v>0</v>
      </c>
      <c r="O425" t="n">
        <v>1</v>
      </c>
      <c r="P425" t="n">
        <v>1</v>
      </c>
    </row>
    <row r="426">
      <c r="B426" t="n">
        <v>422</v>
      </c>
      <c r="C426" t="inlineStr">
        <is>
          <t>21710</t>
        </is>
      </c>
      <c r="D426" t="inlineStr">
        <is>
          <t>21710</t>
        </is>
      </c>
      <c r="G426" t="inlineStr">
        <is>
          <t>M29113</t>
        </is>
      </c>
      <c r="H426" t="inlineStr">
        <is>
          <t>A0175</t>
        </is>
      </c>
      <c r="I426" t="inlineStr">
        <is>
          <t>A01757G</t>
        </is>
      </c>
      <c r="J426" t="inlineStr">
        <is>
          <t>COMPUTER,DIGITAL DA - 15021A0000-0</t>
        </is>
      </c>
      <c r="K426" t="inlineStr">
        <is>
          <t>IS</t>
        </is>
      </c>
      <c r="L426" t="inlineStr">
        <is>
          <t>EA</t>
        </is>
      </c>
      <c r="M426" t="inlineStr">
        <is>
          <t>R</t>
        </is>
      </c>
      <c r="N426" t="n">
        <v>0</v>
      </c>
      <c r="O426" t="n">
        <v>1</v>
      </c>
      <c r="P426" t="n">
        <v>1</v>
      </c>
    </row>
    <row r="427">
      <c r="B427" t="n">
        <v>423</v>
      </c>
      <c r="C427" t="inlineStr">
        <is>
          <t>21710</t>
        </is>
      </c>
      <c r="D427" t="inlineStr">
        <is>
          <t>21710</t>
        </is>
      </c>
      <c r="G427" t="inlineStr">
        <is>
          <t>M29113</t>
        </is>
      </c>
      <c r="H427" t="inlineStr">
        <is>
          <t>A0177</t>
        </is>
      </c>
      <c r="I427" t="inlineStr">
        <is>
          <t>A01777G</t>
        </is>
      </c>
      <c r="J427" t="inlineStr">
        <is>
          <t>COMPUTER SYSTEM,DIG - 15017A0000-00</t>
        </is>
      </c>
      <c r="K427" t="inlineStr">
        <is>
          <t>IS</t>
        </is>
      </c>
      <c r="L427" t="inlineStr">
        <is>
          <t>EA</t>
        </is>
      </c>
      <c r="M427" t="inlineStr">
        <is>
          <t>M</t>
        </is>
      </c>
      <c r="N427" t="n">
        <v>0</v>
      </c>
      <c r="O427" t="n">
        <v>1</v>
      </c>
      <c r="P427" t="n">
        <v>1</v>
      </c>
    </row>
    <row r="428">
      <c r="B428" t="n">
        <v>424</v>
      </c>
      <c r="C428" t="inlineStr">
        <is>
          <t>21710</t>
        </is>
      </c>
      <c r="D428" t="inlineStr">
        <is>
          <t>21710</t>
        </is>
      </c>
      <c r="G428" t="inlineStr">
        <is>
          <t>M29113</t>
        </is>
      </c>
      <c r="H428" t="inlineStr">
        <is>
          <t>A0198</t>
        </is>
      </c>
      <c r="I428" t="inlineStr">
        <is>
          <t>A01987G</t>
        </is>
      </c>
      <c r="J428" t="inlineStr">
        <is>
          <t>RADIO SET - 12200-1823-01</t>
        </is>
      </c>
      <c r="K428" t="inlineStr">
        <is>
          <t>IS</t>
        </is>
      </c>
      <c r="L428" t="inlineStr">
        <is>
          <t>EA</t>
        </is>
      </c>
      <c r="M428" t="inlineStr">
        <is>
          <t>N</t>
        </is>
      </c>
      <c r="N428" t="n">
        <v>0</v>
      </c>
      <c r="O428" t="n">
        <v>2</v>
      </c>
      <c r="P428" t="n">
        <v>2</v>
      </c>
    </row>
    <row r="429">
      <c r="B429" t="n">
        <v>425</v>
      </c>
      <c r="C429" t="inlineStr">
        <is>
          <t>21710</t>
        </is>
      </c>
      <c r="D429" t="inlineStr">
        <is>
          <t>21710</t>
        </is>
      </c>
      <c r="G429" t="inlineStr">
        <is>
          <t>M29113</t>
        </is>
      </c>
      <c r="H429" t="inlineStr">
        <is>
          <t>A1260</t>
        </is>
      </c>
      <c r="I429" t="inlineStr">
        <is>
          <t>A12607G</t>
        </is>
      </c>
      <c r="J429" t="inlineStr">
        <is>
          <t>NAVIGATION SET,SATE - AN/PSN-13(A)</t>
        </is>
      </c>
      <c r="K429" t="inlineStr">
        <is>
          <t>IS</t>
        </is>
      </c>
      <c r="L429" t="inlineStr">
        <is>
          <t>EA</t>
        </is>
      </c>
      <c r="M429" t="inlineStr">
        <is>
          <t>N</t>
        </is>
      </c>
      <c r="N429" t="n">
        <v>0</v>
      </c>
      <c r="O429" t="n">
        <v>8</v>
      </c>
      <c r="P429" t="n">
        <v>8</v>
      </c>
    </row>
    <row r="430">
      <c r="B430" t="n">
        <v>426</v>
      </c>
      <c r="C430" t="inlineStr">
        <is>
          <t>21710</t>
        </is>
      </c>
      <c r="D430" t="inlineStr">
        <is>
          <t>21710</t>
        </is>
      </c>
      <c r="G430" t="inlineStr">
        <is>
          <t>M29113</t>
        </is>
      </c>
      <c r="H430" t="inlineStr">
        <is>
          <t>A2068</t>
        </is>
      </c>
      <c r="I430" t="inlineStr">
        <is>
          <t>A20687G</t>
        </is>
      </c>
      <c r="J430" t="inlineStr">
        <is>
          <t>RADIO SET - AN/PRC-117F(V)1C</t>
        </is>
      </c>
      <c r="K430" t="inlineStr">
        <is>
          <t>DP</t>
        </is>
      </c>
      <c r="L430" t="inlineStr">
        <is>
          <t>EA</t>
        </is>
      </c>
      <c r="M430" t="inlineStr">
        <is>
          <t>N</t>
        </is>
      </c>
      <c r="N430" t="n">
        <v>0</v>
      </c>
      <c r="O430" t="n">
        <v>3</v>
      </c>
      <c r="P430" t="n">
        <v>3</v>
      </c>
    </row>
    <row r="431">
      <c r="B431" t="n">
        <v>427</v>
      </c>
      <c r="C431" t="inlineStr">
        <is>
          <t>14326</t>
        </is>
      </c>
      <c r="D431" t="inlineStr">
        <is>
          <t>14326</t>
        </is>
      </c>
      <c r="G431" t="inlineStr">
        <is>
          <t>M29113</t>
        </is>
      </c>
      <c r="H431" t="inlineStr">
        <is>
          <t>A7080</t>
        </is>
      </c>
      <c r="I431" t="inlineStr">
        <is>
          <t>A70807G</t>
        </is>
      </c>
      <c r="J431" t="inlineStr">
        <is>
          <t>TEST SET,RADIO - 3515N</t>
        </is>
      </c>
      <c r="K431" t="inlineStr">
        <is>
          <t>IS</t>
        </is>
      </c>
      <c r="L431" t="inlineStr">
        <is>
          <t>EA</t>
        </is>
      </c>
      <c r="M431" t="inlineStr">
        <is>
          <t>N</t>
        </is>
      </c>
      <c r="N431" t="n">
        <v>0</v>
      </c>
      <c r="O431" t="n">
        <v>1</v>
      </c>
      <c r="P431" t="n">
        <v>1</v>
      </c>
    </row>
    <row r="432">
      <c r="B432" t="n">
        <v>428</v>
      </c>
      <c r="C432" t="inlineStr">
        <is>
          <t>14326</t>
        </is>
      </c>
      <c r="D432" t="inlineStr">
        <is>
          <t>14326</t>
        </is>
      </c>
      <c r="G432" t="inlineStr">
        <is>
          <t>M29113</t>
        </is>
      </c>
      <c r="H432" t="inlineStr">
        <is>
          <t>A7504</t>
        </is>
      </c>
      <c r="I432" t="inlineStr">
        <is>
          <t>A75047G</t>
        </is>
      </c>
      <c r="J432" t="inlineStr">
        <is>
          <t>MAINTENANCE KIT,ELE - GETAC B360-GEN2</t>
        </is>
      </c>
      <c r="K432" t="inlineStr">
        <is>
          <t>IS</t>
        </is>
      </c>
      <c r="L432" t="inlineStr">
        <is>
          <t>EA</t>
        </is>
      </c>
      <c r="M432" t="inlineStr">
        <is>
          <t>N</t>
        </is>
      </c>
      <c r="N432" t="n">
        <v>0</v>
      </c>
      <c r="O432" t="n">
        <v>3</v>
      </c>
      <c r="P432" t="n">
        <v>3</v>
      </c>
    </row>
    <row r="433">
      <c r="B433" t="n">
        <v>429</v>
      </c>
      <c r="C433" t="inlineStr">
        <is>
          <t>14326</t>
        </is>
      </c>
      <c r="D433" t="inlineStr">
        <is>
          <t>14326</t>
        </is>
      </c>
      <c r="G433" t="inlineStr">
        <is>
          <t>M29113</t>
        </is>
      </c>
      <c r="H433" t="inlineStr">
        <is>
          <t>A7505</t>
        </is>
      </c>
      <c r="I433" t="inlineStr">
        <is>
          <t>A75057H</t>
        </is>
      </c>
      <c r="J433" t="inlineStr">
        <is>
          <t>TEST SET,RADIO</t>
        </is>
      </c>
      <c r="K433" t="inlineStr">
        <is>
          <t>IS</t>
        </is>
      </c>
      <c r="L433" t="inlineStr">
        <is>
          <t>KT</t>
        </is>
      </c>
      <c r="M433" t="inlineStr">
        <is>
          <t>N</t>
        </is>
      </c>
      <c r="N433" t="n">
        <v>0</v>
      </c>
      <c r="O433" t="n">
        <v>1</v>
      </c>
      <c r="P433" t="n">
        <v>1</v>
      </c>
    </row>
    <row r="434">
      <c r="B434" t="n">
        <v>430</v>
      </c>
      <c r="C434" t="inlineStr">
        <is>
          <t>14326</t>
        </is>
      </c>
      <c r="D434" t="inlineStr">
        <is>
          <t>14326</t>
        </is>
      </c>
      <c r="G434" t="inlineStr">
        <is>
          <t>M29113</t>
        </is>
      </c>
      <c r="H434" t="inlineStr">
        <is>
          <t>A7533</t>
        </is>
      </c>
      <c r="I434" t="inlineStr">
        <is>
          <t>A75337G</t>
        </is>
      </c>
      <c r="J434" t="inlineStr">
        <is>
          <t>PROGRAM SET,APPLICA - AN/TSM-221A</t>
        </is>
      </c>
      <c r="K434" t="inlineStr">
        <is>
          <t>IS</t>
        </is>
      </c>
      <c r="L434" t="inlineStr">
        <is>
          <t>EA</t>
        </is>
      </c>
      <c r="M434" t="inlineStr">
        <is>
          <t>N</t>
        </is>
      </c>
      <c r="N434" t="n">
        <v>0</v>
      </c>
      <c r="O434" t="n">
        <v>2</v>
      </c>
      <c r="P434" t="n">
        <v>2</v>
      </c>
    </row>
    <row r="435">
      <c r="B435" t="n">
        <v>431</v>
      </c>
      <c r="C435" t="inlineStr">
        <is>
          <t>61072</t>
        </is>
      </c>
      <c r="D435" t="inlineStr">
        <is>
          <t>61072</t>
        </is>
      </c>
      <c r="G435" t="inlineStr">
        <is>
          <t>M29113</t>
        </is>
      </c>
      <c r="H435" t="inlineStr">
        <is>
          <t>A9060</t>
        </is>
      </c>
      <c r="I435" t="inlineStr">
        <is>
          <t>A90607G</t>
        </is>
      </c>
      <c r="J435" t="inlineStr">
        <is>
          <t>COMPUTER SYSTEM,DIG -  210-BCFT</t>
        </is>
      </c>
      <c r="K435" t="inlineStr">
        <is>
          <t>IS</t>
        </is>
      </c>
      <c r="L435" t="inlineStr">
        <is>
          <t>EA</t>
        </is>
      </c>
      <c r="M435" t="inlineStr">
        <is>
          <t>N</t>
        </is>
      </c>
      <c r="N435" t="n">
        <v>0</v>
      </c>
      <c r="O435" t="n">
        <v>1</v>
      </c>
      <c r="P435" t="n">
        <v>1</v>
      </c>
    </row>
    <row r="436">
      <c r="B436" t="n">
        <v>432</v>
      </c>
      <c r="C436" t="inlineStr">
        <is>
          <t>61072</t>
        </is>
      </c>
      <c r="D436" t="inlineStr">
        <is>
          <t>61072</t>
        </is>
      </c>
      <c r="G436" t="inlineStr">
        <is>
          <t>M29113</t>
        </is>
      </c>
      <c r="H436" t="inlineStr">
        <is>
          <t>A9100</t>
        </is>
      </c>
      <c r="I436" t="inlineStr">
        <is>
          <t>A91007G</t>
        </is>
      </c>
      <c r="J436" t="inlineStr">
        <is>
          <t>COMPUTER SYSTEM,DIG - HP ELITEBOOK 645</t>
        </is>
      </c>
      <c r="K436" t="inlineStr">
        <is>
          <t>IS</t>
        </is>
      </c>
      <c r="L436" t="inlineStr">
        <is>
          <t>EA</t>
        </is>
      </c>
      <c r="M436" t="inlineStr">
        <is>
          <t>N</t>
        </is>
      </c>
      <c r="N436" t="n">
        <v>0</v>
      </c>
      <c r="O436" t="n">
        <v>10</v>
      </c>
      <c r="P436" t="n">
        <v>10</v>
      </c>
    </row>
    <row r="437">
      <c r="B437" t="n">
        <v>433</v>
      </c>
      <c r="C437" t="inlineStr">
        <is>
          <t>21710</t>
        </is>
      </c>
      <c r="D437" t="inlineStr">
        <is>
          <t>21710</t>
        </is>
      </c>
      <c r="G437" t="inlineStr">
        <is>
          <t>M29113</t>
        </is>
      </c>
      <c r="H437" t="inlineStr">
        <is>
          <t>B0002</t>
        </is>
      </c>
      <c r="I437" t="inlineStr">
        <is>
          <t>B00022B</t>
        </is>
      </c>
      <c r="J437" t="inlineStr">
        <is>
          <t>WIRE DETECTION,COMM - 71631</t>
        </is>
      </c>
      <c r="K437" t="inlineStr">
        <is>
          <t>IS</t>
        </is>
      </c>
      <c r="L437" t="inlineStr">
        <is>
          <t>EA</t>
        </is>
      </c>
      <c r="M437" t="inlineStr">
        <is>
          <t>N</t>
        </is>
      </c>
      <c r="N437" t="n">
        <v>0</v>
      </c>
      <c r="O437" t="n">
        <v>3</v>
      </c>
      <c r="P437" t="n">
        <v>3</v>
      </c>
    </row>
    <row r="438">
      <c r="B438" t="n">
        <v>434</v>
      </c>
      <c r="C438" t="inlineStr">
        <is>
          <t>21710</t>
        </is>
      </c>
      <c r="D438" t="inlineStr">
        <is>
          <t>21710</t>
        </is>
      </c>
      <c r="G438" t="inlineStr">
        <is>
          <t>M29113</t>
        </is>
      </c>
      <c r="H438" t="inlineStr">
        <is>
          <t>B0007</t>
        </is>
      </c>
      <c r="I438" t="inlineStr">
        <is>
          <t>B00077B</t>
        </is>
      </c>
      <c r="J438" t="inlineStr">
        <is>
          <t>WATER PURIFICATION - 0500134</t>
        </is>
      </c>
      <c r="K438" t="inlineStr">
        <is>
          <t>IS</t>
        </is>
      </c>
      <c r="L438" t="inlineStr">
        <is>
          <t>EA</t>
        </is>
      </c>
      <c r="M438" t="inlineStr">
        <is>
          <t>N</t>
        </is>
      </c>
      <c r="N438" t="n">
        <v>0</v>
      </c>
      <c r="O438" t="n">
        <v>3</v>
      </c>
      <c r="P438" t="n">
        <v>3</v>
      </c>
    </row>
    <row r="439">
      <c r="B439" t="n">
        <v>435</v>
      </c>
      <c r="C439" t="inlineStr">
        <is>
          <t>21710</t>
        </is>
      </c>
      <c r="D439" t="inlineStr">
        <is>
          <t>21710</t>
        </is>
      </c>
      <c r="G439" t="inlineStr">
        <is>
          <t>M29113</t>
        </is>
      </c>
      <c r="H439" t="inlineStr">
        <is>
          <t>B0012</t>
        </is>
      </c>
      <c r="I439" t="inlineStr">
        <is>
          <t>B00122B</t>
        </is>
      </c>
      <c r="J439" t="inlineStr">
        <is>
          <t>SOLAR PANEL KIT</t>
        </is>
      </c>
      <c r="K439" t="inlineStr">
        <is>
          <t>IS</t>
        </is>
      </c>
      <c r="L439" t="inlineStr">
        <is>
          <t>KT</t>
        </is>
      </c>
      <c r="M439" t="inlineStr">
        <is>
          <t>N</t>
        </is>
      </c>
      <c r="N439" t="n">
        <v>0</v>
      </c>
      <c r="O439" t="n">
        <v>2</v>
      </c>
      <c r="P439" t="n">
        <v>2</v>
      </c>
    </row>
    <row r="440">
      <c r="B440" t="n">
        <v>436</v>
      </c>
      <c r="C440" t="inlineStr">
        <is>
          <t>21710</t>
        </is>
      </c>
      <c r="D440" t="inlineStr">
        <is>
          <t>21710</t>
        </is>
      </c>
      <c r="G440" t="inlineStr">
        <is>
          <t>M29113</t>
        </is>
      </c>
      <c r="H440" t="inlineStr">
        <is>
          <t>B0014</t>
        </is>
      </c>
      <c r="I440" t="inlineStr">
        <is>
          <t>B00147B</t>
        </is>
      </c>
      <c r="J440" t="inlineStr">
        <is>
          <t>AIR CONDITIONER - GL0383ZAADWYX11</t>
        </is>
      </c>
      <c r="K440" t="inlineStr">
        <is>
          <t>IS</t>
        </is>
      </c>
      <c r="L440" t="inlineStr">
        <is>
          <t>EA</t>
        </is>
      </c>
      <c r="M440" t="inlineStr">
        <is>
          <t>R</t>
        </is>
      </c>
      <c r="N440" t="n">
        <v>0</v>
      </c>
      <c r="O440" t="n">
        <v>3</v>
      </c>
      <c r="P440" t="n">
        <v>3</v>
      </c>
    </row>
    <row r="441">
      <c r="B441" t="n">
        <v>437</v>
      </c>
      <c r="C441" t="inlineStr">
        <is>
          <t>21710</t>
        </is>
      </c>
      <c r="D441" t="inlineStr">
        <is>
          <t>21710</t>
        </is>
      </c>
      <c r="G441" t="inlineStr">
        <is>
          <t>M29113</t>
        </is>
      </c>
      <c r="H441" t="inlineStr">
        <is>
          <t>B0028</t>
        </is>
      </c>
      <c r="I441" t="inlineStr">
        <is>
          <t>B00287B</t>
        </is>
      </c>
      <c r="J441" t="inlineStr">
        <is>
          <t>PANEL,POWER DISTRIB - 5KW OUTDOOR</t>
        </is>
      </c>
      <c r="K441" t="inlineStr">
        <is>
          <t>IS</t>
        </is>
      </c>
      <c r="L441" t="inlineStr">
        <is>
          <t>EA</t>
        </is>
      </c>
      <c r="M441" t="inlineStr">
        <is>
          <t>R</t>
        </is>
      </c>
      <c r="N441" t="n">
        <v>0</v>
      </c>
      <c r="O441" t="n">
        <v>1</v>
      </c>
      <c r="P441" t="n">
        <v>1</v>
      </c>
    </row>
    <row r="442">
      <c r="B442" t="n">
        <v>438</v>
      </c>
      <c r="C442" t="inlineStr">
        <is>
          <t>21710</t>
        </is>
      </c>
      <c r="D442" t="inlineStr">
        <is>
          <t>21710</t>
        </is>
      </c>
      <c r="G442" t="inlineStr">
        <is>
          <t>M29113</t>
        </is>
      </c>
      <c r="H442" t="inlineStr">
        <is>
          <t>B0029</t>
        </is>
      </c>
      <c r="I442" t="inlineStr">
        <is>
          <t>B00297B</t>
        </is>
      </c>
      <c r="J442" t="inlineStr">
        <is>
          <t>PANEL,POWER DISTRIB - 15KW</t>
        </is>
      </c>
      <c r="K442" t="inlineStr">
        <is>
          <t>IS</t>
        </is>
      </c>
      <c r="L442" t="inlineStr">
        <is>
          <t>EA</t>
        </is>
      </c>
      <c r="M442" t="inlineStr">
        <is>
          <t>R</t>
        </is>
      </c>
      <c r="N442" t="n">
        <v>0</v>
      </c>
      <c r="O442" t="n">
        <v>1</v>
      </c>
      <c r="P442" t="n">
        <v>1</v>
      </c>
    </row>
    <row r="443">
      <c r="B443" t="n">
        <v>439</v>
      </c>
      <c r="C443" t="inlineStr">
        <is>
          <t>21710</t>
        </is>
      </c>
      <c r="D443" t="inlineStr">
        <is>
          <t>21710</t>
        </is>
      </c>
      <c r="G443" t="inlineStr">
        <is>
          <t>M29113</t>
        </is>
      </c>
      <c r="H443" t="inlineStr">
        <is>
          <t>B0030</t>
        </is>
      </c>
      <c r="I443" t="inlineStr">
        <is>
          <t>B00307B</t>
        </is>
      </c>
      <c r="J443" t="inlineStr">
        <is>
          <t>PANEL,POWER DISTRIB - 30KW</t>
        </is>
      </c>
      <c r="K443" t="inlineStr">
        <is>
          <t>IS</t>
        </is>
      </c>
      <c r="L443" t="inlineStr">
        <is>
          <t>EA</t>
        </is>
      </c>
      <c r="M443" t="inlineStr">
        <is>
          <t>R</t>
        </is>
      </c>
      <c r="N443" t="n">
        <v>0</v>
      </c>
      <c r="O443" t="n">
        <v>2</v>
      </c>
      <c r="P443" t="n">
        <v>2</v>
      </c>
    </row>
    <row r="444">
      <c r="B444" t="n">
        <v>440</v>
      </c>
      <c r="C444" t="inlineStr">
        <is>
          <t>21710</t>
        </is>
      </c>
      <c r="D444" t="inlineStr">
        <is>
          <t>21710</t>
        </is>
      </c>
      <c r="G444" t="inlineStr">
        <is>
          <t>M29113</t>
        </is>
      </c>
      <c r="H444" t="inlineStr">
        <is>
          <t>B0036</t>
        </is>
      </c>
      <c r="I444" t="inlineStr">
        <is>
          <t>B00367B</t>
        </is>
      </c>
      <c r="J444" t="inlineStr">
        <is>
          <t>TANK AND PUMP UNIT, - B0116302</t>
        </is>
      </c>
      <c r="K444" t="inlineStr">
        <is>
          <t>IS</t>
        </is>
      </c>
      <c r="L444" t="inlineStr">
        <is>
          <t>EA</t>
        </is>
      </c>
      <c r="M444" t="inlineStr">
        <is>
          <t>N</t>
        </is>
      </c>
      <c r="N444" t="n">
        <v>0</v>
      </c>
      <c r="O444" t="n">
        <v>3</v>
      </c>
      <c r="P444" t="n">
        <v>3</v>
      </c>
    </row>
    <row r="445">
      <c r="B445" t="n">
        <v>441</v>
      </c>
      <c r="C445" t="inlineStr">
        <is>
          <t>21710</t>
        </is>
      </c>
      <c r="D445" t="inlineStr">
        <is>
          <t>21710</t>
        </is>
      </c>
      <c r="G445" t="inlineStr">
        <is>
          <t>M29113</t>
        </is>
      </c>
      <c r="H445" t="inlineStr">
        <is>
          <t>B0037</t>
        </is>
      </c>
      <c r="I445" t="inlineStr">
        <is>
          <t>B00377B</t>
        </is>
      </c>
      <c r="J445" t="inlineStr">
        <is>
          <t>TANK AND PUMP UNIT, - B0116301</t>
        </is>
      </c>
      <c r="K445" t="inlineStr">
        <is>
          <t>IS</t>
        </is>
      </c>
      <c r="L445" t="inlineStr">
        <is>
          <t>EA</t>
        </is>
      </c>
      <c r="M445" t="inlineStr">
        <is>
          <t>N</t>
        </is>
      </c>
      <c r="N445" t="n">
        <v>0</v>
      </c>
      <c r="O445" t="n">
        <v>3</v>
      </c>
      <c r="P445" t="n">
        <v>3</v>
      </c>
    </row>
    <row r="446">
      <c r="B446" t="n">
        <v>442</v>
      </c>
      <c r="C446" t="inlineStr">
        <is>
          <t>21710</t>
        </is>
      </c>
      <c r="D446" t="inlineStr">
        <is>
          <t>21710</t>
        </is>
      </c>
      <c r="G446" t="inlineStr">
        <is>
          <t>M29113</t>
        </is>
      </c>
      <c r="H446" t="inlineStr">
        <is>
          <t>B0040</t>
        </is>
      </c>
      <c r="I446" t="inlineStr">
        <is>
          <t>B00407B</t>
        </is>
      </c>
      <c r="J446" t="inlineStr">
        <is>
          <t>MULTI-TERRAIN LOADE - 3TS-8T MTL</t>
        </is>
      </c>
      <c r="K446" t="inlineStr">
        <is>
          <t>IS</t>
        </is>
      </c>
      <c r="L446" t="inlineStr">
        <is>
          <t>EA</t>
        </is>
      </c>
      <c r="M446" t="inlineStr">
        <is>
          <t>N</t>
        </is>
      </c>
      <c r="N446" t="n">
        <v>0</v>
      </c>
      <c r="O446" t="n">
        <v>1</v>
      </c>
      <c r="P446" t="n">
        <v>1</v>
      </c>
    </row>
    <row r="447">
      <c r="B447" t="n">
        <v>443</v>
      </c>
      <c r="C447" t="inlineStr">
        <is>
          <t>21710</t>
        </is>
      </c>
      <c r="D447" t="inlineStr">
        <is>
          <t>21710</t>
        </is>
      </c>
      <c r="G447" t="inlineStr">
        <is>
          <t>M29113</t>
        </is>
      </c>
      <c r="H447" t="inlineStr">
        <is>
          <t>B0054</t>
        </is>
      </c>
      <c r="I447" t="inlineStr">
        <is>
          <t>B00547B</t>
        </is>
      </c>
      <c r="J447" t="inlineStr">
        <is>
          <t>TEST SET,FUEL CONTR</t>
        </is>
      </c>
      <c r="K447" t="inlineStr">
        <is>
          <t>PL</t>
        </is>
      </c>
      <c r="L447" t="inlineStr">
        <is>
          <t>EA</t>
        </is>
      </c>
      <c r="M447" t="inlineStr">
        <is>
          <t>N</t>
        </is>
      </c>
      <c r="N447" t="n">
        <v>0</v>
      </c>
      <c r="O447" t="n">
        <v>1</v>
      </c>
      <c r="P447" t="n">
        <v>1</v>
      </c>
    </row>
    <row r="448">
      <c r="B448" t="n">
        <v>444</v>
      </c>
      <c r="C448" t="inlineStr">
        <is>
          <t>21710</t>
        </is>
      </c>
      <c r="D448" t="inlineStr">
        <is>
          <t>21710</t>
        </is>
      </c>
      <c r="G448" t="inlineStr">
        <is>
          <t>M29113</t>
        </is>
      </c>
      <c r="H448" t="inlineStr">
        <is>
          <t>B0060</t>
        </is>
      </c>
      <c r="I448" t="inlineStr">
        <is>
          <t>B00607B</t>
        </is>
      </c>
      <c r="J448" t="inlineStr">
        <is>
          <t>TRACTOR,MEDIUM CRAW - 850-JR</t>
        </is>
      </c>
      <c r="K448" t="inlineStr">
        <is>
          <t>IS</t>
        </is>
      </c>
      <c r="L448" t="inlineStr">
        <is>
          <t>EA</t>
        </is>
      </c>
      <c r="M448" t="inlineStr">
        <is>
          <t>M</t>
        </is>
      </c>
      <c r="N448" t="n">
        <v>0</v>
      </c>
      <c r="O448" t="n">
        <v>1</v>
      </c>
      <c r="P448" t="n">
        <v>1</v>
      </c>
    </row>
    <row r="449">
      <c r="B449" t="n">
        <v>445</v>
      </c>
      <c r="C449" t="inlineStr">
        <is>
          <t>21710</t>
        </is>
      </c>
      <c r="D449" t="inlineStr">
        <is>
          <t>21710</t>
        </is>
      </c>
      <c r="G449" t="inlineStr">
        <is>
          <t>M29113</t>
        </is>
      </c>
      <c r="H449" t="inlineStr">
        <is>
          <t>B0063</t>
        </is>
      </c>
      <c r="I449" t="inlineStr">
        <is>
          <t>B00637B</t>
        </is>
      </c>
      <c r="J449" t="inlineStr">
        <is>
          <t>LOADER,SCOOP TYPE - 624KR</t>
        </is>
      </c>
      <c r="K449" t="inlineStr">
        <is>
          <t>IS</t>
        </is>
      </c>
      <c r="L449" t="inlineStr">
        <is>
          <t>EA</t>
        </is>
      </c>
      <c r="M449" t="inlineStr">
        <is>
          <t>M</t>
        </is>
      </c>
      <c r="N449" t="n">
        <v>0</v>
      </c>
      <c r="O449" t="n">
        <v>1</v>
      </c>
      <c r="P449" t="n">
        <v>1</v>
      </c>
    </row>
    <row r="450">
      <c r="B450" t="n">
        <v>446</v>
      </c>
      <c r="C450" t="inlineStr">
        <is>
          <t>21710</t>
        </is>
      </c>
      <c r="D450" t="inlineStr">
        <is>
          <t>21710</t>
        </is>
      </c>
      <c r="G450" t="inlineStr">
        <is>
          <t>M29113</t>
        </is>
      </c>
      <c r="H450" t="inlineStr">
        <is>
          <t>B0068</t>
        </is>
      </c>
      <c r="I450" t="inlineStr">
        <is>
          <t>B00687B</t>
        </is>
      </c>
      <c r="J450" t="inlineStr">
        <is>
          <t>POWER SUPPLY</t>
        </is>
      </c>
      <c r="K450" t="inlineStr">
        <is>
          <t>IS</t>
        </is>
      </c>
      <c r="L450" t="inlineStr">
        <is>
          <t>EA</t>
        </is>
      </c>
      <c r="M450" t="inlineStr">
        <is>
          <t>N</t>
        </is>
      </c>
      <c r="N450" t="n">
        <v>0</v>
      </c>
      <c r="O450" t="n">
        <v>2</v>
      </c>
      <c r="P450" t="n">
        <v>2</v>
      </c>
    </row>
    <row r="451">
      <c r="B451" t="n">
        <v>447</v>
      </c>
      <c r="C451" t="inlineStr">
        <is>
          <t>21710</t>
        </is>
      </c>
      <c r="D451" t="inlineStr">
        <is>
          <t>21710</t>
        </is>
      </c>
      <c r="G451" t="inlineStr">
        <is>
          <t>M29113</t>
        </is>
      </c>
      <c r="H451" t="inlineStr">
        <is>
          <t>B0070</t>
        </is>
      </c>
      <c r="I451" t="inlineStr">
        <is>
          <t>B00707B</t>
        </is>
      </c>
      <c r="J451" t="inlineStr">
        <is>
          <t>GENERATOR SET,DIESE</t>
        </is>
      </c>
      <c r="K451" t="inlineStr">
        <is>
          <t>PL</t>
        </is>
      </c>
      <c r="L451" t="inlineStr">
        <is>
          <t>EA</t>
        </is>
      </c>
      <c r="M451" t="inlineStr">
        <is>
          <t>N</t>
        </is>
      </c>
      <c r="N451" t="n">
        <v>0</v>
      </c>
      <c r="O451" t="n">
        <v>2</v>
      </c>
      <c r="P451" t="n">
        <v>2</v>
      </c>
    </row>
    <row r="452">
      <c r="B452" t="n">
        <v>448</v>
      </c>
      <c r="C452" t="inlineStr">
        <is>
          <t>21710</t>
        </is>
      </c>
      <c r="D452" t="inlineStr">
        <is>
          <t>21710</t>
        </is>
      </c>
      <c r="G452" t="inlineStr">
        <is>
          <t>M29113</t>
        </is>
      </c>
      <c r="H452" t="inlineStr">
        <is>
          <t>B0071</t>
        </is>
      </c>
      <c r="I452" t="inlineStr">
        <is>
          <t>B00717B</t>
        </is>
      </c>
      <c r="J452" t="inlineStr">
        <is>
          <t>WATER PURIFICATION - LWPS-5001</t>
        </is>
      </c>
      <c r="K452" t="inlineStr">
        <is>
          <t>IS</t>
        </is>
      </c>
      <c r="L452" t="inlineStr">
        <is>
          <t>EA</t>
        </is>
      </c>
      <c r="M452" t="inlineStr">
        <is>
          <t>M</t>
        </is>
      </c>
      <c r="N452" t="n">
        <v>0</v>
      </c>
      <c r="O452" t="n">
        <v>2</v>
      </c>
      <c r="P452" t="n">
        <v>2</v>
      </c>
    </row>
    <row r="453">
      <c r="B453" t="n">
        <v>449</v>
      </c>
      <c r="C453" t="inlineStr">
        <is>
          <t>21710</t>
        </is>
      </c>
      <c r="D453" t="inlineStr">
        <is>
          <t>21710</t>
        </is>
      </c>
      <c r="G453" t="inlineStr">
        <is>
          <t>M29113</t>
        </is>
      </c>
      <c r="H453" t="inlineStr">
        <is>
          <t>B0077</t>
        </is>
      </c>
      <c r="I453" t="inlineStr">
        <is>
          <t>B00777B</t>
        </is>
      </c>
      <c r="J453" t="inlineStr">
        <is>
          <t>GENERATOR SET,DIESE - MEP-1030A</t>
        </is>
      </c>
      <c r="K453" t="inlineStr">
        <is>
          <t>IS</t>
        </is>
      </c>
      <c r="L453" t="inlineStr">
        <is>
          <t>EA</t>
        </is>
      </c>
      <c r="M453" t="inlineStr">
        <is>
          <t>R</t>
        </is>
      </c>
      <c r="N453" t="n">
        <v>0</v>
      </c>
      <c r="O453" t="n">
        <v>1</v>
      </c>
      <c r="P453" t="n">
        <v>1</v>
      </c>
    </row>
    <row r="454">
      <c r="B454" t="n">
        <v>450</v>
      </c>
      <c r="C454" t="inlineStr">
        <is>
          <t>21710</t>
        </is>
      </c>
      <c r="D454" t="inlineStr">
        <is>
          <t>21710</t>
        </is>
      </c>
      <c r="G454" t="inlineStr">
        <is>
          <t>M29113</t>
        </is>
      </c>
      <c r="H454" t="inlineStr">
        <is>
          <t>B0102</t>
        </is>
      </c>
      <c r="I454" t="inlineStr">
        <is>
          <t>B01022B</t>
        </is>
      </c>
      <c r="J454" t="inlineStr">
        <is>
          <t>DETECTING SET,MINE -  VMR2.5 (VMR2+)</t>
        </is>
      </c>
      <c r="K454" t="inlineStr">
        <is>
          <t>IS</t>
        </is>
      </c>
      <c r="L454" t="inlineStr">
        <is>
          <t>EA</t>
        </is>
      </c>
      <c r="M454" t="inlineStr">
        <is>
          <t>R</t>
        </is>
      </c>
      <c r="N454" t="n">
        <v>0</v>
      </c>
      <c r="O454" t="n">
        <v>1</v>
      </c>
      <c r="P454" t="n">
        <v>1</v>
      </c>
    </row>
    <row r="455">
      <c r="B455" t="n">
        <v>451</v>
      </c>
      <c r="C455" t="inlineStr">
        <is>
          <t>21710</t>
        </is>
      </c>
      <c r="D455" t="inlineStr">
        <is>
          <t>21710</t>
        </is>
      </c>
      <c r="G455" t="inlineStr">
        <is>
          <t>M29113</t>
        </is>
      </c>
      <c r="H455" t="inlineStr">
        <is>
          <t>B0132</t>
        </is>
      </c>
      <c r="I455" t="inlineStr">
        <is>
          <t>B01327B</t>
        </is>
      </c>
      <c r="J455" t="inlineStr">
        <is>
          <t>INSTRUMENT SET,RECO</t>
        </is>
      </c>
      <c r="K455" t="inlineStr">
        <is>
          <t>IS</t>
        </is>
      </c>
      <c r="L455" t="inlineStr">
        <is>
          <t>EA</t>
        </is>
      </c>
      <c r="M455" t="inlineStr">
        <is>
          <t>N</t>
        </is>
      </c>
      <c r="N455" t="n">
        <v>0</v>
      </c>
      <c r="O455" t="n">
        <v>1</v>
      </c>
      <c r="P455" t="n">
        <v>1</v>
      </c>
    </row>
    <row r="456">
      <c r="B456" t="n">
        <v>452</v>
      </c>
      <c r="C456" t="inlineStr">
        <is>
          <t>21730</t>
        </is>
      </c>
      <c r="D456" t="inlineStr">
        <is>
          <t>21730</t>
        </is>
      </c>
      <c r="G456" t="inlineStr">
        <is>
          <t>M29113</t>
        </is>
      </c>
      <c r="H456" t="inlineStr">
        <is>
          <t>B0471</t>
        </is>
      </c>
      <c r="I456" t="inlineStr">
        <is>
          <t>B04712E</t>
        </is>
      </c>
      <c r="J456" t="inlineStr">
        <is>
          <t>DEMOLITION EQUIPMEN - 3002</t>
        </is>
      </c>
      <c r="K456" t="inlineStr">
        <is>
          <t>IS</t>
        </is>
      </c>
      <c r="L456" t="inlineStr">
        <is>
          <t>EA</t>
        </is>
      </c>
      <c r="M456" t="inlineStr">
        <is>
          <t>N</t>
        </is>
      </c>
      <c r="N456" t="n">
        <v>0</v>
      </c>
      <c r="O456" t="n">
        <v>1</v>
      </c>
      <c r="P456" t="n">
        <v>1</v>
      </c>
    </row>
    <row r="457">
      <c r="B457" t="n">
        <v>453</v>
      </c>
      <c r="C457" t="inlineStr">
        <is>
          <t>21710</t>
        </is>
      </c>
      <c r="D457" t="inlineStr">
        <is>
          <t>21710</t>
        </is>
      </c>
      <c r="G457" t="inlineStr">
        <is>
          <t>M29113</t>
        </is>
      </c>
      <c r="H457" t="inlineStr">
        <is>
          <t>B0570</t>
        </is>
      </c>
      <c r="I457" t="inlineStr">
        <is>
          <t>B05707B</t>
        </is>
      </c>
      <c r="J457" t="inlineStr">
        <is>
          <t>DRUM,FABRIC,COLLAPS - GTA-500LF-SL3</t>
        </is>
      </c>
      <c r="K457" t="inlineStr">
        <is>
          <t>IS</t>
        </is>
      </c>
      <c r="L457" t="inlineStr">
        <is>
          <t>EA</t>
        </is>
      </c>
      <c r="M457" t="inlineStr">
        <is>
          <t>N</t>
        </is>
      </c>
      <c r="N457" t="n">
        <v>0</v>
      </c>
      <c r="O457" t="n">
        <v>6</v>
      </c>
      <c r="P457" t="n">
        <v>6</v>
      </c>
    </row>
    <row r="458">
      <c r="B458" t="n">
        <v>454</v>
      </c>
      <c r="C458" t="inlineStr">
        <is>
          <t>21710</t>
        </is>
      </c>
      <c r="D458" t="inlineStr">
        <is>
          <t>21710</t>
        </is>
      </c>
      <c r="G458" t="inlineStr">
        <is>
          <t>M29113</t>
        </is>
      </c>
      <c r="H458" t="inlineStr">
        <is>
          <t>B0573</t>
        </is>
      </c>
      <c r="I458" t="inlineStr">
        <is>
          <t>B05737B</t>
        </is>
      </c>
      <c r="J458" t="inlineStr">
        <is>
          <t>TANK,LIQUID STORAGE - GTA-3KF-SL-3</t>
        </is>
      </c>
      <c r="K458" t="inlineStr">
        <is>
          <t>IS</t>
        </is>
      </c>
      <c r="L458" t="inlineStr">
        <is>
          <t>EA</t>
        </is>
      </c>
      <c r="M458" t="inlineStr">
        <is>
          <t>N</t>
        </is>
      </c>
      <c r="N458" t="n">
        <v>0</v>
      </c>
      <c r="O458" t="n">
        <v>2</v>
      </c>
      <c r="P458" t="n">
        <v>2</v>
      </c>
    </row>
    <row r="459">
      <c r="B459" t="n">
        <v>455</v>
      </c>
      <c r="C459" t="inlineStr">
        <is>
          <t>21710</t>
        </is>
      </c>
      <c r="D459" t="inlineStr">
        <is>
          <t>21710</t>
        </is>
      </c>
      <c r="G459" t="inlineStr">
        <is>
          <t>M29113</t>
        </is>
      </c>
      <c r="H459" t="inlineStr">
        <is>
          <t>B0730</t>
        </is>
      </c>
      <c r="I459" t="inlineStr">
        <is>
          <t>B07307B</t>
        </is>
      </c>
      <c r="J459" t="inlineStr">
        <is>
          <t>GENERATOR SET,DIESE - MEP831A</t>
        </is>
      </c>
      <c r="K459" t="inlineStr">
        <is>
          <t>IS</t>
        </is>
      </c>
      <c r="L459" t="inlineStr">
        <is>
          <t>EA</t>
        </is>
      </c>
      <c r="M459" t="inlineStr">
        <is>
          <t>M</t>
        </is>
      </c>
      <c r="N459" t="n">
        <v>0</v>
      </c>
      <c r="O459" t="n">
        <v>1</v>
      </c>
      <c r="P459" t="n">
        <v>1</v>
      </c>
    </row>
    <row r="460">
      <c r="B460" t="n">
        <v>456</v>
      </c>
      <c r="C460" t="inlineStr">
        <is>
          <t>21710</t>
        </is>
      </c>
      <c r="D460" t="inlineStr">
        <is>
          <t>21710</t>
        </is>
      </c>
      <c r="G460" t="inlineStr">
        <is>
          <t>M29113</t>
        </is>
      </c>
      <c r="H460" t="inlineStr">
        <is>
          <t>B0891</t>
        </is>
      </c>
      <c r="I460" t="inlineStr">
        <is>
          <t>B08917B</t>
        </is>
      </c>
      <c r="J460" t="inlineStr">
        <is>
          <t>GENERATOR SET,DIESE - MEP-1040A</t>
        </is>
      </c>
      <c r="K460" t="inlineStr">
        <is>
          <t>IS</t>
        </is>
      </c>
      <c r="L460" t="inlineStr">
        <is>
          <t>EA</t>
        </is>
      </c>
      <c r="M460" t="inlineStr">
        <is>
          <t>R</t>
        </is>
      </c>
      <c r="N460" t="n">
        <v>0</v>
      </c>
      <c r="O460" t="n">
        <v>2</v>
      </c>
      <c r="P460" t="n">
        <v>2</v>
      </c>
    </row>
    <row r="461">
      <c r="B461" t="n">
        <v>457</v>
      </c>
      <c r="C461" t="inlineStr">
        <is>
          <t>21710</t>
        </is>
      </c>
      <c r="D461" t="inlineStr">
        <is>
          <t>21710</t>
        </is>
      </c>
      <c r="G461" t="inlineStr">
        <is>
          <t>M29113</t>
        </is>
      </c>
      <c r="H461" t="inlineStr">
        <is>
          <t>B0953</t>
        </is>
      </c>
      <c r="I461" t="inlineStr">
        <is>
          <t>B09537B</t>
        </is>
      </c>
      <c r="J461" t="inlineStr">
        <is>
          <t>GENERATOR SET,DIESE - MEP-1060A</t>
        </is>
      </c>
      <c r="K461" t="inlineStr">
        <is>
          <t>IS</t>
        </is>
      </c>
      <c r="L461" t="inlineStr">
        <is>
          <t>EA</t>
        </is>
      </c>
      <c r="M461" t="inlineStr">
        <is>
          <t>R</t>
        </is>
      </c>
      <c r="N461" t="n">
        <v>0</v>
      </c>
      <c r="O461" t="n">
        <v>4</v>
      </c>
      <c r="P461" t="n">
        <v>4</v>
      </c>
    </row>
    <row r="462">
      <c r="B462" t="n">
        <v>458</v>
      </c>
      <c r="C462" t="inlineStr">
        <is>
          <t>21710</t>
        </is>
      </c>
      <c r="D462" t="inlineStr">
        <is>
          <t>21710</t>
        </is>
      </c>
      <c r="G462" t="inlineStr">
        <is>
          <t>M29113</t>
        </is>
      </c>
      <c r="H462" t="inlineStr">
        <is>
          <t>B1420</t>
        </is>
      </c>
      <c r="I462" t="inlineStr">
        <is>
          <t>B14202B</t>
        </is>
      </c>
      <c r="J462" t="inlineStr">
        <is>
          <t>TESTING KIT,PETROLE - 57K6311</t>
        </is>
      </c>
      <c r="K462" t="inlineStr">
        <is>
          <t>IS</t>
        </is>
      </c>
      <c r="L462" t="inlineStr">
        <is>
          <t>KT</t>
        </is>
      </c>
      <c r="M462" t="inlineStr">
        <is>
          <t>N</t>
        </is>
      </c>
      <c r="N462" t="n">
        <v>0</v>
      </c>
      <c r="O462" t="n">
        <v>2</v>
      </c>
      <c r="P462" t="n">
        <v>2</v>
      </c>
    </row>
    <row r="463">
      <c r="B463" t="n">
        <v>459</v>
      </c>
      <c r="C463" t="inlineStr">
        <is>
          <t>21710</t>
        </is>
      </c>
      <c r="D463" t="inlineStr">
        <is>
          <t>21710</t>
        </is>
      </c>
      <c r="G463" t="inlineStr">
        <is>
          <t>M29113</t>
        </is>
      </c>
      <c r="H463" t="inlineStr">
        <is>
          <t>B1570</t>
        </is>
      </c>
      <c r="I463" t="inlineStr">
        <is>
          <t>B15707B</t>
        </is>
      </c>
      <c r="J463" t="inlineStr">
        <is>
          <t>PUMP ASSY,EXP REFUE - M81 TDH</t>
        </is>
      </c>
      <c r="K463" t="inlineStr">
        <is>
          <t>IS</t>
        </is>
      </c>
      <c r="L463" t="inlineStr">
        <is>
          <t>EA</t>
        </is>
      </c>
      <c r="M463" t="inlineStr">
        <is>
          <t>N</t>
        </is>
      </c>
      <c r="N463" t="n">
        <v>0</v>
      </c>
      <c r="O463" t="n">
        <v>2</v>
      </c>
      <c r="P463" t="n">
        <v>2</v>
      </c>
    </row>
    <row r="464">
      <c r="B464" t="n">
        <v>460</v>
      </c>
      <c r="C464" t="inlineStr">
        <is>
          <t>21710</t>
        </is>
      </c>
      <c r="D464" t="inlineStr">
        <is>
          <t>21710</t>
        </is>
      </c>
      <c r="G464" t="inlineStr">
        <is>
          <t>M29113</t>
        </is>
      </c>
      <c r="H464" t="inlineStr">
        <is>
          <t>B1580</t>
        </is>
      </c>
      <c r="I464" t="inlineStr">
        <is>
          <t>B15807B</t>
        </is>
      </c>
      <c r="J464" t="inlineStr">
        <is>
          <t>FUEL PUMP MODULE AY - 845010A0000</t>
        </is>
      </c>
      <c r="K464" t="inlineStr">
        <is>
          <t>IS</t>
        </is>
      </c>
      <c r="L464" t="inlineStr">
        <is>
          <t>AY</t>
        </is>
      </c>
      <c r="M464" t="inlineStr">
        <is>
          <t>R</t>
        </is>
      </c>
      <c r="N464" t="n">
        <v>0</v>
      </c>
      <c r="O464" t="n">
        <v>8</v>
      </c>
      <c r="P464" t="n">
        <v>8</v>
      </c>
    </row>
    <row r="465">
      <c r="B465" t="n">
        <v>461</v>
      </c>
      <c r="C465" t="inlineStr">
        <is>
          <t>21710</t>
        </is>
      </c>
      <c r="D465" t="inlineStr">
        <is>
          <t>21710</t>
        </is>
      </c>
      <c r="G465" t="inlineStr">
        <is>
          <t>M29113</t>
        </is>
      </c>
      <c r="H465" t="inlineStr">
        <is>
          <t>B1620</t>
        </is>
      </c>
      <c r="I465" t="inlineStr">
        <is>
          <t>B16207B</t>
        </is>
      </c>
      <c r="J465" t="inlineStr">
        <is>
          <t>PUMP UNIT SET - SL-3-00970D</t>
        </is>
      </c>
      <c r="K465" t="inlineStr">
        <is>
          <t>IS</t>
        </is>
      </c>
      <c r="L465" t="inlineStr">
        <is>
          <t>SE</t>
        </is>
      </c>
      <c r="M465" t="inlineStr">
        <is>
          <t>N</t>
        </is>
      </c>
      <c r="N465" t="n">
        <v>0</v>
      </c>
      <c r="O465" t="n">
        <v>1</v>
      </c>
      <c r="P465" t="n">
        <v>1</v>
      </c>
    </row>
    <row r="466">
      <c r="B466" t="n">
        <v>462</v>
      </c>
      <c r="C466" t="inlineStr">
        <is>
          <t>21710</t>
        </is>
      </c>
      <c r="D466" t="inlineStr">
        <is>
          <t>21710</t>
        </is>
      </c>
      <c r="G466" t="inlineStr">
        <is>
          <t>M29113</t>
        </is>
      </c>
      <c r="H466" t="inlineStr">
        <is>
          <t>B2035</t>
        </is>
      </c>
      <c r="I466" t="inlineStr">
        <is>
          <t>B20357B</t>
        </is>
      </c>
      <c r="J466" t="inlineStr">
        <is>
          <t>SLING,MULTIPLE LEG - CH-53E</t>
        </is>
      </c>
      <c r="K466" t="inlineStr">
        <is>
          <t>IS</t>
        </is>
      </c>
      <c r="L466" t="inlineStr">
        <is>
          <t>EA</t>
        </is>
      </c>
      <c r="M466" t="inlineStr">
        <is>
          <t>N</t>
        </is>
      </c>
      <c r="N466" t="n">
        <v>0</v>
      </c>
      <c r="O466" t="n">
        <v>4</v>
      </c>
      <c r="P466" t="n">
        <v>4</v>
      </c>
    </row>
    <row r="467">
      <c r="B467" t="n">
        <v>463</v>
      </c>
      <c r="C467" t="inlineStr">
        <is>
          <t>21710</t>
        </is>
      </c>
      <c r="D467" t="inlineStr">
        <is>
          <t>21710</t>
        </is>
      </c>
      <c r="G467" t="inlineStr">
        <is>
          <t>M29113</t>
        </is>
      </c>
      <c r="H467" t="inlineStr">
        <is>
          <t>B2085</t>
        </is>
      </c>
      <c r="I467" t="inlineStr">
        <is>
          <t>B20857B</t>
        </is>
      </c>
      <c r="J467" t="inlineStr">
        <is>
          <t>FUEL TANK ASSEMBLY - 845009A0000</t>
        </is>
      </c>
      <c r="K467" t="inlineStr">
        <is>
          <t>IS</t>
        </is>
      </c>
      <c r="L467" t="inlineStr">
        <is>
          <t>AY</t>
        </is>
      </c>
      <c r="M467" t="inlineStr">
        <is>
          <t>R</t>
        </is>
      </c>
      <c r="N467" t="n">
        <v>0</v>
      </c>
      <c r="O467" t="n">
        <v>24</v>
      </c>
      <c r="P467" t="n">
        <v>24</v>
      </c>
    </row>
    <row r="468">
      <c r="B468" t="n">
        <v>464</v>
      </c>
      <c r="C468" t="inlineStr">
        <is>
          <t>21710</t>
        </is>
      </c>
      <c r="D468" t="inlineStr">
        <is>
          <t>21710</t>
        </is>
      </c>
      <c r="G468" t="inlineStr">
        <is>
          <t>M29113</t>
        </is>
      </c>
      <c r="H468" t="inlineStr">
        <is>
          <t>B2130</t>
        </is>
      </c>
      <c r="I468" t="inlineStr">
        <is>
          <t>B21307B</t>
        </is>
      </c>
      <c r="J468" t="inlineStr">
        <is>
          <t>TANK,WATER,3000 GAL - RCF-3K-W-OT</t>
        </is>
      </c>
      <c r="K468" t="inlineStr">
        <is>
          <t>IS</t>
        </is>
      </c>
      <c r="L468" t="inlineStr">
        <is>
          <t>EA</t>
        </is>
      </c>
      <c r="M468" t="inlineStr">
        <is>
          <t>N</t>
        </is>
      </c>
      <c r="N468" t="n">
        <v>0</v>
      </c>
      <c r="O468" t="n">
        <v>3</v>
      </c>
      <c r="P468" t="n">
        <v>3</v>
      </c>
    </row>
    <row r="469">
      <c r="B469" t="n">
        <v>465</v>
      </c>
      <c r="C469" t="inlineStr">
        <is>
          <t>21730</t>
        </is>
      </c>
      <c r="D469" t="inlineStr">
        <is>
          <t>21730</t>
        </is>
      </c>
      <c r="G469" t="inlineStr">
        <is>
          <t>M29113</t>
        </is>
      </c>
      <c r="H469" t="inlineStr">
        <is>
          <t>B2260</t>
        </is>
      </c>
      <c r="I469" t="inlineStr">
        <is>
          <t>B22602E</t>
        </is>
      </c>
      <c r="J469" t="inlineStr">
        <is>
          <t>PIONEER KIT - KIT PIO 1002-M</t>
        </is>
      </c>
      <c r="K469" t="inlineStr">
        <is>
          <t>IS</t>
        </is>
      </c>
      <c r="L469" t="inlineStr">
        <is>
          <t>KT</t>
        </is>
      </c>
      <c r="M469" t="inlineStr">
        <is>
          <t>N</t>
        </is>
      </c>
      <c r="N469" t="n">
        <v>0</v>
      </c>
      <c r="O469" t="n">
        <v>1</v>
      </c>
      <c r="P469" t="n">
        <v>1</v>
      </c>
    </row>
    <row r="470">
      <c r="B470" t="n">
        <v>466</v>
      </c>
      <c r="C470" t="inlineStr">
        <is>
          <t>21710</t>
        </is>
      </c>
      <c r="D470" t="inlineStr">
        <is>
          <t>21710</t>
        </is>
      </c>
      <c r="G470" t="inlineStr">
        <is>
          <t>M29113</t>
        </is>
      </c>
      <c r="H470" t="inlineStr">
        <is>
          <t>B2483</t>
        </is>
      </c>
      <c r="I470" t="inlineStr">
        <is>
          <t>B24837B</t>
        </is>
      </c>
      <c r="J470" t="inlineStr">
        <is>
          <t>LOADER,BACKHOE - 420E IT</t>
        </is>
      </c>
      <c r="K470" t="inlineStr">
        <is>
          <t>IS</t>
        </is>
      </c>
      <c r="L470" t="inlineStr">
        <is>
          <t>EA</t>
        </is>
      </c>
      <c r="M470" t="inlineStr">
        <is>
          <t>R</t>
        </is>
      </c>
      <c r="N470" t="n">
        <v>0</v>
      </c>
      <c r="O470" t="n">
        <v>1</v>
      </c>
      <c r="P470" t="n">
        <v>1</v>
      </c>
    </row>
    <row r="471">
      <c r="B471" t="n">
        <v>467</v>
      </c>
      <c r="C471" t="inlineStr">
        <is>
          <t>21710</t>
        </is>
      </c>
      <c r="D471" t="inlineStr">
        <is>
          <t>21710</t>
        </is>
      </c>
      <c r="G471" t="inlineStr">
        <is>
          <t>M29113</t>
        </is>
      </c>
      <c r="H471" t="inlineStr">
        <is>
          <t>B2565</t>
        </is>
      </c>
      <c r="I471" t="inlineStr">
        <is>
          <t>B25657K</t>
        </is>
      </c>
      <c r="J471" t="inlineStr">
        <is>
          <t>TRAILER,FLAT BED - GTTU202-30-20</t>
        </is>
      </c>
      <c r="K471" t="inlineStr">
        <is>
          <t>IS</t>
        </is>
      </c>
      <c r="L471" t="inlineStr">
        <is>
          <t>EA</t>
        </is>
      </c>
      <c r="M471" t="inlineStr">
        <is>
          <t>N</t>
        </is>
      </c>
      <c r="N471" t="n">
        <v>0</v>
      </c>
      <c r="O471" t="n">
        <v>2</v>
      </c>
      <c r="P471" t="n">
        <v>2</v>
      </c>
    </row>
    <row r="472">
      <c r="B472" t="n">
        <v>468</v>
      </c>
      <c r="C472" t="inlineStr">
        <is>
          <t>21710</t>
        </is>
      </c>
      <c r="D472" t="inlineStr">
        <is>
          <t>21710</t>
        </is>
      </c>
      <c r="G472" t="inlineStr">
        <is>
          <t>M29113</t>
        </is>
      </c>
      <c r="H472" t="inlineStr">
        <is>
          <t>B2566</t>
        </is>
      </c>
      <c r="I472" t="inlineStr">
        <is>
          <t>B25667B</t>
        </is>
      </c>
      <c r="J472" t="inlineStr">
        <is>
          <t>TRUCK,LIFT,FORK - RT- 022</t>
        </is>
      </c>
      <c r="K472" t="inlineStr">
        <is>
          <t>IS</t>
        </is>
      </c>
      <c r="L472" t="inlineStr">
        <is>
          <t>EA</t>
        </is>
      </c>
      <c r="M472" t="inlineStr">
        <is>
          <t>R</t>
        </is>
      </c>
      <c r="N472" t="n">
        <v>0</v>
      </c>
      <c r="O472" t="n">
        <v>1</v>
      </c>
      <c r="P472" t="n">
        <v>1</v>
      </c>
    </row>
    <row r="473">
      <c r="B473" t="n">
        <v>469</v>
      </c>
      <c r="C473" t="inlineStr">
        <is>
          <t>44112</t>
        </is>
      </c>
      <c r="D473" t="inlineStr">
        <is>
          <t>44112</t>
        </is>
      </c>
      <c r="G473" t="inlineStr">
        <is>
          <t>M29113</t>
        </is>
      </c>
      <c r="H473" t="inlineStr">
        <is>
          <t>C0010</t>
        </is>
      </c>
      <c r="I473" t="inlineStr">
        <is>
          <t>C00102F</t>
        </is>
      </c>
      <c r="J473" t="inlineStr">
        <is>
          <t>CARRIER,SMALL ARMS</t>
        </is>
      </c>
      <c r="K473" t="inlineStr">
        <is>
          <t>IS</t>
        </is>
      </c>
      <c r="L473" t="inlineStr">
        <is>
          <t>EA</t>
        </is>
      </c>
      <c r="M473" t="inlineStr">
        <is>
          <t>N</t>
        </is>
      </c>
      <c r="N473" t="n">
        <v>58</v>
      </c>
      <c r="O473" t="n">
        <v>0</v>
      </c>
      <c r="P473" t="n">
        <v>58</v>
      </c>
    </row>
    <row r="474">
      <c r="B474" t="n">
        <v>470</v>
      </c>
      <c r="C474" t="inlineStr">
        <is>
          <t>44112</t>
        </is>
      </c>
      <c r="D474" t="inlineStr">
        <is>
          <t>44112</t>
        </is>
      </c>
      <c r="G474" t="inlineStr">
        <is>
          <t>M29113</t>
        </is>
      </c>
      <c r="H474" t="inlineStr">
        <is>
          <t>C0015</t>
        </is>
      </c>
      <c r="I474" t="inlineStr">
        <is>
          <t>C00152E</t>
        </is>
      </c>
      <c r="J474" t="inlineStr">
        <is>
          <t>INSERT,SMALL ARMS P - 95662</t>
        </is>
      </c>
      <c r="K474" t="inlineStr">
        <is>
          <t>IS</t>
        </is>
      </c>
      <c r="L474" t="inlineStr">
        <is>
          <t>EA</t>
        </is>
      </c>
      <c r="M474" t="inlineStr">
        <is>
          <t>N</t>
        </is>
      </c>
      <c r="N474" t="n">
        <v>116</v>
      </c>
      <c r="O474" t="n">
        <v>0</v>
      </c>
      <c r="P474" t="n">
        <v>116</v>
      </c>
    </row>
    <row r="475">
      <c r="B475" t="n">
        <v>471</v>
      </c>
      <c r="C475" t="inlineStr">
        <is>
          <t>44112</t>
        </is>
      </c>
      <c r="D475" t="inlineStr">
        <is>
          <t>44112</t>
        </is>
      </c>
      <c r="G475" t="inlineStr">
        <is>
          <t>M29113</t>
        </is>
      </c>
      <c r="H475" t="inlineStr">
        <is>
          <t>C0029</t>
        </is>
      </c>
      <c r="I475" t="inlineStr">
        <is>
          <t>C00292F</t>
        </is>
      </c>
      <c r="J475" t="inlineStr">
        <is>
          <t>DRAWERS,COLD WEATHE - FRGFDR</t>
        </is>
      </c>
      <c r="K475" t="inlineStr">
        <is>
          <t>IS</t>
        </is>
      </c>
      <c r="L475" t="inlineStr">
        <is>
          <t>PR</t>
        </is>
      </c>
      <c r="M475" t="inlineStr">
        <is>
          <t>N</t>
        </is>
      </c>
      <c r="N475" t="n">
        <v>58</v>
      </c>
      <c r="O475" t="n">
        <v>0</v>
      </c>
      <c r="P475" t="n">
        <v>58</v>
      </c>
    </row>
    <row r="476">
      <c r="B476" t="n">
        <v>472</v>
      </c>
      <c r="C476" t="inlineStr">
        <is>
          <t>44112</t>
        </is>
      </c>
      <c r="D476" t="inlineStr">
        <is>
          <t>44112</t>
        </is>
      </c>
      <c r="G476" t="inlineStr">
        <is>
          <t>M29113</t>
        </is>
      </c>
      <c r="H476" t="inlineStr">
        <is>
          <t>C0040</t>
        </is>
      </c>
      <c r="I476" t="inlineStr">
        <is>
          <t>C00402E</t>
        </is>
      </c>
      <c r="J476" t="inlineStr">
        <is>
          <t>PAD,KNEE - MEDIUM</t>
        </is>
      </c>
      <c r="K476" t="inlineStr">
        <is>
          <t>IS</t>
        </is>
      </c>
      <c r="L476" t="inlineStr"/>
      <c r="M476" t="inlineStr">
        <is>
          <t>N</t>
        </is>
      </c>
      <c r="N476" t="n">
        <v>15</v>
      </c>
      <c r="O476" t="n">
        <v>0</v>
      </c>
      <c r="P476" t="n">
        <v>15</v>
      </c>
    </row>
    <row r="477">
      <c r="B477" t="n">
        <v>473</v>
      </c>
      <c r="C477" t="inlineStr">
        <is>
          <t>44112</t>
        </is>
      </c>
      <c r="D477" t="inlineStr">
        <is>
          <t>44112</t>
        </is>
      </c>
      <c r="G477" t="inlineStr">
        <is>
          <t>M29113</t>
        </is>
      </c>
      <c r="H477" t="inlineStr">
        <is>
          <t>C0041</t>
        </is>
      </c>
      <c r="I477" t="inlineStr">
        <is>
          <t>C00412E</t>
        </is>
      </c>
      <c r="J477" t="inlineStr">
        <is>
          <t>ELBOW PADS,EXTERNAL - SMALL</t>
        </is>
      </c>
      <c r="K477" t="inlineStr">
        <is>
          <t>IS</t>
        </is>
      </c>
      <c r="L477" t="inlineStr"/>
      <c r="M477" t="inlineStr">
        <is>
          <t>N</t>
        </is>
      </c>
      <c r="N477" t="n">
        <v>15</v>
      </c>
      <c r="O477" t="n">
        <v>0</v>
      </c>
      <c r="P477" t="n">
        <v>15</v>
      </c>
    </row>
    <row r="478">
      <c r="B478" t="n">
        <v>474</v>
      </c>
      <c r="C478" t="inlineStr">
        <is>
          <t>44112</t>
        </is>
      </c>
      <c r="D478" t="inlineStr">
        <is>
          <t>44112</t>
        </is>
      </c>
      <c r="G478" t="inlineStr">
        <is>
          <t>M29113</t>
        </is>
      </c>
      <c r="H478" t="inlineStr">
        <is>
          <t>C0057</t>
        </is>
      </c>
      <c r="I478" t="inlineStr">
        <is>
          <t>C00577B</t>
        </is>
      </c>
      <c r="J478" t="inlineStr">
        <is>
          <t>UNMANNED AIRCRAFT</t>
        </is>
      </c>
      <c r="K478" t="inlineStr">
        <is>
          <t>IS</t>
        </is>
      </c>
      <c r="L478" t="inlineStr">
        <is>
          <t>EA</t>
        </is>
      </c>
      <c r="M478" t="inlineStr">
        <is>
          <t>N</t>
        </is>
      </c>
      <c r="N478" t="n">
        <v>0</v>
      </c>
      <c r="O478" t="n">
        <v>2</v>
      </c>
      <c r="P478" t="n">
        <v>2</v>
      </c>
    </row>
    <row r="479">
      <c r="B479" t="n">
        <v>475</v>
      </c>
      <c r="C479" t="inlineStr">
        <is>
          <t>44112</t>
        </is>
      </c>
      <c r="D479" t="inlineStr">
        <is>
          <t>44112</t>
        </is>
      </c>
      <c r="G479" t="inlineStr">
        <is>
          <t>M29113</t>
        </is>
      </c>
      <c r="H479" t="inlineStr">
        <is>
          <t>C0061</t>
        </is>
      </c>
      <c r="I479" t="inlineStr">
        <is>
          <t>C00612F</t>
        </is>
      </c>
      <c r="J479" t="inlineStr">
        <is>
          <t>CARRIER,SMALL ARMS - PC GEN II</t>
        </is>
      </c>
      <c r="K479" t="inlineStr">
        <is>
          <t>IS</t>
        </is>
      </c>
      <c r="L479" t="inlineStr">
        <is>
          <t>EA</t>
        </is>
      </c>
      <c r="M479" t="inlineStr">
        <is>
          <t>N</t>
        </is>
      </c>
      <c r="N479" t="n">
        <v>58</v>
      </c>
      <c r="O479" t="n">
        <v>0</v>
      </c>
      <c r="P479" t="n">
        <v>58</v>
      </c>
    </row>
    <row r="480">
      <c r="B480" t="n">
        <v>476</v>
      </c>
      <c r="C480" t="inlineStr">
        <is>
          <t>44112</t>
        </is>
      </c>
      <c r="D480" t="inlineStr">
        <is>
          <t>44112</t>
        </is>
      </c>
      <c r="G480" t="inlineStr">
        <is>
          <t>M29113</t>
        </is>
      </c>
      <c r="H480" t="inlineStr">
        <is>
          <t>C0062</t>
        </is>
      </c>
      <c r="I480" t="inlineStr">
        <is>
          <t>C00622F</t>
        </is>
      </c>
      <c r="J480" t="inlineStr">
        <is>
          <t>COAT,CHEMICAL PROTE - UNIVERSAL COAT</t>
        </is>
      </c>
      <c r="K480" t="inlineStr">
        <is>
          <t>IS</t>
        </is>
      </c>
      <c r="L480" t="inlineStr">
        <is>
          <t>EA</t>
        </is>
      </c>
      <c r="M480" t="inlineStr">
        <is>
          <t>N</t>
        </is>
      </c>
      <c r="N480" t="n">
        <v>116</v>
      </c>
      <c r="O480" t="n">
        <v>0</v>
      </c>
      <c r="P480" t="n">
        <v>116</v>
      </c>
    </row>
    <row r="481">
      <c r="B481" t="n">
        <v>477</v>
      </c>
      <c r="C481" t="inlineStr">
        <is>
          <t>44112</t>
        </is>
      </c>
      <c r="D481" t="inlineStr">
        <is>
          <t>44112</t>
        </is>
      </c>
      <c r="G481" t="inlineStr">
        <is>
          <t>M29113</t>
        </is>
      </c>
      <c r="H481" t="inlineStr">
        <is>
          <t>C0063</t>
        </is>
      </c>
      <c r="I481" t="inlineStr">
        <is>
          <t>C00632F</t>
        </is>
      </c>
      <c r="J481" t="inlineStr">
        <is>
          <t>TROUSERS,CHEMICAL P - UNIVERSAL TROU</t>
        </is>
      </c>
      <c r="K481" t="inlineStr">
        <is>
          <t>IS</t>
        </is>
      </c>
      <c r="L481" t="inlineStr">
        <is>
          <t>PR</t>
        </is>
      </c>
      <c r="M481" t="inlineStr">
        <is>
          <t>N</t>
        </is>
      </c>
      <c r="N481" t="n">
        <v>116</v>
      </c>
      <c r="O481" t="n">
        <v>0</v>
      </c>
      <c r="P481" t="n">
        <v>116</v>
      </c>
    </row>
    <row r="482">
      <c r="B482" t="n">
        <v>478</v>
      </c>
      <c r="C482" t="inlineStr">
        <is>
          <t>44112</t>
        </is>
      </c>
      <c r="D482" t="inlineStr">
        <is>
          <t>44112</t>
        </is>
      </c>
      <c r="G482" t="inlineStr">
        <is>
          <t>M29113</t>
        </is>
      </c>
      <c r="H482" t="inlineStr">
        <is>
          <t>C0074</t>
        </is>
      </c>
      <c r="I482" t="inlineStr">
        <is>
          <t>C00742E</t>
        </is>
      </c>
      <c r="J482" t="inlineStr">
        <is>
          <t>FLASHLIGHT - 14032</t>
        </is>
      </c>
      <c r="K482" t="inlineStr">
        <is>
          <t>IS</t>
        </is>
      </c>
      <c r="L482" t="inlineStr">
        <is>
          <t>EA</t>
        </is>
      </c>
      <c r="M482" t="inlineStr">
        <is>
          <t>N</t>
        </is>
      </c>
      <c r="N482" t="n">
        <v>58</v>
      </c>
      <c r="O482" t="n">
        <v>0</v>
      </c>
      <c r="P482" t="n">
        <v>58</v>
      </c>
    </row>
    <row r="483">
      <c r="B483" t="n">
        <v>479</v>
      </c>
      <c r="C483" t="inlineStr">
        <is>
          <t>44112</t>
        </is>
      </c>
      <c r="D483" t="inlineStr">
        <is>
          <t>44112</t>
        </is>
      </c>
      <c r="G483" t="inlineStr">
        <is>
          <t>M29113</t>
        </is>
      </c>
      <c r="H483" t="inlineStr">
        <is>
          <t>C0077</t>
        </is>
      </c>
      <c r="I483" t="inlineStr">
        <is>
          <t>C00772E</t>
        </is>
      </c>
      <c r="J483" t="inlineStr">
        <is>
          <t>COLLAPSIBLE JMIC 3. - TAN</t>
        </is>
      </c>
      <c r="K483" t="inlineStr">
        <is>
          <t>IS</t>
        </is>
      </c>
      <c r="L483" t="inlineStr">
        <is>
          <t>EA</t>
        </is>
      </c>
      <c r="M483" t="inlineStr">
        <is>
          <t>N</t>
        </is>
      </c>
      <c r="N483" t="n">
        <v>0</v>
      </c>
      <c r="O483" t="n">
        <v>25</v>
      </c>
      <c r="P483" t="n">
        <v>25</v>
      </c>
    </row>
    <row r="484">
      <c r="B484" t="n">
        <v>480</v>
      </c>
      <c r="C484" t="inlineStr">
        <is>
          <t>44112</t>
        </is>
      </c>
      <c r="D484" t="inlineStr">
        <is>
          <t>44112</t>
        </is>
      </c>
      <c r="G484" t="inlineStr">
        <is>
          <t>M29113</t>
        </is>
      </c>
      <c r="H484" t="inlineStr">
        <is>
          <t>C0083</t>
        </is>
      </c>
      <c r="I484" t="inlineStr">
        <is>
          <t>C00832E</t>
        </is>
      </c>
      <c r="J484" t="inlineStr">
        <is>
          <t>STRAP CUTTER,RESCUE - 1431</t>
        </is>
      </c>
      <c r="K484" t="inlineStr">
        <is>
          <t>IS</t>
        </is>
      </c>
      <c r="L484" t="inlineStr">
        <is>
          <t>EA</t>
        </is>
      </c>
      <c r="M484" t="inlineStr">
        <is>
          <t>N</t>
        </is>
      </c>
      <c r="N484" t="n">
        <v>58</v>
      </c>
      <c r="O484" t="n">
        <v>0</v>
      </c>
      <c r="P484" t="n">
        <v>58</v>
      </c>
    </row>
    <row r="485">
      <c r="B485" t="n">
        <v>481</v>
      </c>
      <c r="C485" t="inlineStr">
        <is>
          <t>44112</t>
        </is>
      </c>
      <c r="D485" t="inlineStr">
        <is>
          <t>44112</t>
        </is>
      </c>
      <c r="G485" t="inlineStr">
        <is>
          <t>M29113</t>
        </is>
      </c>
      <c r="H485" t="inlineStr">
        <is>
          <t>C0115</t>
        </is>
      </c>
      <c r="I485" t="inlineStr">
        <is>
          <t>C01152F</t>
        </is>
      </c>
      <c r="J485" t="inlineStr">
        <is>
          <t>DRAWERS,COLD WEATHE - FRDRCW</t>
        </is>
      </c>
      <c r="K485" t="inlineStr">
        <is>
          <t>IS</t>
        </is>
      </c>
      <c r="L485" t="inlineStr">
        <is>
          <t>PR</t>
        </is>
      </c>
      <c r="M485" t="inlineStr">
        <is>
          <t>N</t>
        </is>
      </c>
      <c r="N485" t="n">
        <v>116</v>
      </c>
      <c r="O485" t="n">
        <v>0</v>
      </c>
      <c r="P485" t="n">
        <v>116</v>
      </c>
    </row>
    <row r="486">
      <c r="B486" t="n">
        <v>482</v>
      </c>
      <c r="C486" t="inlineStr">
        <is>
          <t>44112</t>
        </is>
      </c>
      <c r="D486" t="inlineStr">
        <is>
          <t>44112</t>
        </is>
      </c>
      <c r="G486" t="inlineStr">
        <is>
          <t>M29113</t>
        </is>
      </c>
      <c r="H486" t="inlineStr">
        <is>
          <t>C0116</t>
        </is>
      </c>
      <c r="I486" t="inlineStr">
        <is>
          <t>C01162F</t>
        </is>
      </c>
      <c r="J486" t="inlineStr">
        <is>
          <t>UNDERSHIRT,COLD WEA - FRUSHCW</t>
        </is>
      </c>
      <c r="K486" t="inlineStr">
        <is>
          <t>IS</t>
        </is>
      </c>
      <c r="L486" t="inlineStr">
        <is>
          <t>EA</t>
        </is>
      </c>
      <c r="M486" t="inlineStr">
        <is>
          <t>N</t>
        </is>
      </c>
      <c r="N486" t="n">
        <v>116</v>
      </c>
      <c r="O486" t="n">
        <v>0</v>
      </c>
      <c r="P486" t="n">
        <v>116</v>
      </c>
    </row>
    <row r="487">
      <c r="B487" t="n">
        <v>483</v>
      </c>
      <c r="C487" t="inlineStr">
        <is>
          <t>44112</t>
        </is>
      </c>
      <c r="D487" t="inlineStr">
        <is>
          <t>44112</t>
        </is>
      </c>
      <c r="G487" t="inlineStr">
        <is>
          <t>M29113</t>
        </is>
      </c>
      <c r="H487" t="inlineStr">
        <is>
          <t>C0117</t>
        </is>
      </c>
      <c r="I487" t="inlineStr">
        <is>
          <t>C01172F</t>
        </is>
      </c>
      <c r="J487" t="inlineStr">
        <is>
          <t>SHIRT,COLD WEATHER - FRGFP07</t>
        </is>
      </c>
      <c r="K487" t="inlineStr">
        <is>
          <t>IS</t>
        </is>
      </c>
      <c r="L487" t="inlineStr">
        <is>
          <t>EA</t>
        </is>
      </c>
      <c r="M487" t="inlineStr">
        <is>
          <t>N</t>
        </is>
      </c>
      <c r="N487" t="n">
        <v>58</v>
      </c>
      <c r="O487" t="n">
        <v>0</v>
      </c>
      <c r="P487" t="n">
        <v>58</v>
      </c>
    </row>
    <row r="488">
      <c r="B488" t="n">
        <v>484</v>
      </c>
      <c r="C488" t="inlineStr">
        <is>
          <t>44112</t>
        </is>
      </c>
      <c r="D488" t="inlineStr">
        <is>
          <t>44112</t>
        </is>
      </c>
      <c r="G488" t="inlineStr">
        <is>
          <t>M29113</t>
        </is>
      </c>
      <c r="H488" t="inlineStr">
        <is>
          <t>C0120</t>
        </is>
      </c>
      <c r="I488" t="inlineStr">
        <is>
          <t>C01202E</t>
        </is>
      </c>
      <c r="J488" t="inlineStr">
        <is>
          <t>HELMET,GROUND TROOP - ECH</t>
        </is>
      </c>
      <c r="K488" t="inlineStr">
        <is>
          <t>IS</t>
        </is>
      </c>
      <c r="L488" t="inlineStr">
        <is>
          <t>EA</t>
        </is>
      </c>
      <c r="M488" t="inlineStr">
        <is>
          <t>N</t>
        </is>
      </c>
      <c r="N488" t="n">
        <v>58</v>
      </c>
      <c r="O488" t="n">
        <v>0</v>
      </c>
      <c r="P488" t="n">
        <v>58</v>
      </c>
    </row>
    <row r="489">
      <c r="B489" t="n">
        <v>485</v>
      </c>
      <c r="C489" t="inlineStr">
        <is>
          <t>44112</t>
        </is>
      </c>
      <c r="D489" t="inlineStr">
        <is>
          <t>44112</t>
        </is>
      </c>
      <c r="G489" t="inlineStr">
        <is>
          <t>M29113</t>
        </is>
      </c>
      <c r="H489" t="inlineStr">
        <is>
          <t>C0132</t>
        </is>
      </c>
      <c r="I489" t="inlineStr">
        <is>
          <t>C01322B</t>
        </is>
      </c>
      <c r="J489" t="inlineStr">
        <is>
          <t>PAPER,CHEMICAL AGEN - M8</t>
        </is>
      </c>
      <c r="K489" t="inlineStr">
        <is>
          <t>IS</t>
        </is>
      </c>
      <c r="L489" t="inlineStr">
        <is>
          <t>BK</t>
        </is>
      </c>
      <c r="M489" t="inlineStr">
        <is>
          <t>N</t>
        </is>
      </c>
      <c r="N489" t="n">
        <v>58</v>
      </c>
      <c r="O489" t="n">
        <v>0</v>
      </c>
      <c r="P489" t="n">
        <v>58</v>
      </c>
    </row>
    <row r="490">
      <c r="B490" t="n">
        <v>486</v>
      </c>
      <c r="C490" t="inlineStr">
        <is>
          <t>44112</t>
        </is>
      </c>
      <c r="D490" t="inlineStr">
        <is>
          <t>44112</t>
        </is>
      </c>
      <c r="G490" t="inlineStr">
        <is>
          <t>M29113</t>
        </is>
      </c>
      <c r="H490" t="inlineStr">
        <is>
          <t>C0135</t>
        </is>
      </c>
      <c r="I490" t="inlineStr">
        <is>
          <t>C01352F</t>
        </is>
      </c>
      <c r="J490" t="inlineStr">
        <is>
          <t>BOOTS,COLD WEATHER - C/W RAT</t>
        </is>
      </c>
      <c r="K490" t="inlineStr">
        <is>
          <t>IS</t>
        </is>
      </c>
      <c r="L490" t="inlineStr">
        <is>
          <t>EA</t>
        </is>
      </c>
      <c r="M490" t="inlineStr">
        <is>
          <t>N</t>
        </is>
      </c>
      <c r="N490" t="n">
        <v>58</v>
      </c>
      <c r="O490" t="n">
        <v>0</v>
      </c>
      <c r="P490" t="n">
        <v>58</v>
      </c>
    </row>
    <row r="491">
      <c r="B491" t="n">
        <v>487</v>
      </c>
      <c r="C491" t="inlineStr">
        <is>
          <t>44112</t>
        </is>
      </c>
      <c r="D491" t="inlineStr">
        <is>
          <t>44112</t>
        </is>
      </c>
      <c r="G491" t="inlineStr">
        <is>
          <t>M29113</t>
        </is>
      </c>
      <c r="H491" t="inlineStr">
        <is>
          <t>C0136</t>
        </is>
      </c>
      <c r="I491" t="inlineStr">
        <is>
          <t>C01362F</t>
        </is>
      </c>
      <c r="J491" t="inlineStr">
        <is>
          <t>BOOTS,HOT WEATHER - H/W RAT</t>
        </is>
      </c>
      <c r="K491" t="inlineStr">
        <is>
          <t>IS</t>
        </is>
      </c>
      <c r="L491" t="inlineStr">
        <is>
          <t>EA</t>
        </is>
      </c>
      <c r="M491" t="inlineStr">
        <is>
          <t>N</t>
        </is>
      </c>
      <c r="N491" t="n">
        <v>58</v>
      </c>
      <c r="O491" t="n">
        <v>0</v>
      </c>
      <c r="P491" t="n">
        <v>58</v>
      </c>
    </row>
    <row r="492">
      <c r="B492" t="n">
        <v>488</v>
      </c>
      <c r="C492" t="inlineStr">
        <is>
          <t>44112</t>
        </is>
      </c>
      <c r="D492" t="inlineStr">
        <is>
          <t>44112</t>
        </is>
      </c>
      <c r="G492" t="inlineStr">
        <is>
          <t>M29113</t>
        </is>
      </c>
      <c r="H492" t="inlineStr">
        <is>
          <t>C0137</t>
        </is>
      </c>
      <c r="I492" t="inlineStr">
        <is>
          <t>C01372F</t>
        </is>
      </c>
      <c r="J492" t="inlineStr">
        <is>
          <t>JACKET,COMBAT - N/A</t>
        </is>
      </c>
      <c r="K492" t="inlineStr">
        <is>
          <t>IS</t>
        </is>
      </c>
      <c r="L492" t="inlineStr">
        <is>
          <t>EA</t>
        </is>
      </c>
      <c r="M492" t="inlineStr">
        <is>
          <t>N</t>
        </is>
      </c>
      <c r="N492" t="n">
        <v>58</v>
      </c>
      <c r="O492" t="n">
        <v>0</v>
      </c>
      <c r="P492" t="n">
        <v>58</v>
      </c>
    </row>
    <row r="493">
      <c r="B493" t="n">
        <v>489</v>
      </c>
      <c r="C493" t="inlineStr">
        <is>
          <t>44112</t>
        </is>
      </c>
      <c r="D493" t="inlineStr">
        <is>
          <t>44112</t>
        </is>
      </c>
      <c r="G493" t="inlineStr">
        <is>
          <t>M29113</t>
        </is>
      </c>
      <c r="H493" t="inlineStr">
        <is>
          <t>C0169</t>
        </is>
      </c>
      <c r="I493" t="inlineStr">
        <is>
          <t>C01692F</t>
        </is>
      </c>
      <c r="J493" t="inlineStr">
        <is>
          <t>MAT,SLEEPING - ISM</t>
        </is>
      </c>
      <c r="K493" t="inlineStr">
        <is>
          <t>IS</t>
        </is>
      </c>
      <c r="L493" t="inlineStr">
        <is>
          <t>EA</t>
        </is>
      </c>
      <c r="M493" t="inlineStr">
        <is>
          <t>N</t>
        </is>
      </c>
      <c r="N493" t="n">
        <v>58</v>
      </c>
      <c r="O493" t="n">
        <v>0</v>
      </c>
      <c r="P493" t="n">
        <v>58</v>
      </c>
    </row>
    <row r="494">
      <c r="B494" t="n">
        <v>490</v>
      </c>
      <c r="C494" t="inlineStr">
        <is>
          <t>44112</t>
        </is>
      </c>
      <c r="D494" t="inlineStr">
        <is>
          <t>44112</t>
        </is>
      </c>
      <c r="G494" t="inlineStr">
        <is>
          <t>M29113</t>
        </is>
      </c>
      <c r="H494" t="inlineStr">
        <is>
          <t>C0170</t>
        </is>
      </c>
      <c r="I494" t="inlineStr">
        <is>
          <t>C01702F</t>
        </is>
      </c>
      <c r="J494" t="inlineStr">
        <is>
          <t>LINER,WET WEATHER P - N/A</t>
        </is>
      </c>
      <c r="K494" t="inlineStr">
        <is>
          <t>IS</t>
        </is>
      </c>
      <c r="L494" t="inlineStr">
        <is>
          <t>EA</t>
        </is>
      </c>
      <c r="M494" t="inlineStr">
        <is>
          <t>N</t>
        </is>
      </c>
      <c r="N494" t="n">
        <v>58</v>
      </c>
      <c r="O494" t="n">
        <v>0</v>
      </c>
      <c r="P494" t="n">
        <v>58</v>
      </c>
    </row>
    <row r="495">
      <c r="B495" t="n">
        <v>491</v>
      </c>
      <c r="C495" t="inlineStr">
        <is>
          <t>44112</t>
        </is>
      </c>
      <c r="D495" t="inlineStr">
        <is>
          <t>44112</t>
        </is>
      </c>
      <c r="G495" t="inlineStr">
        <is>
          <t>M29113</t>
        </is>
      </c>
      <c r="H495" t="inlineStr">
        <is>
          <t>C0180</t>
        </is>
      </c>
      <c r="I495" t="inlineStr">
        <is>
          <t>C01802F</t>
        </is>
      </c>
      <c r="J495" t="inlineStr">
        <is>
          <t>BELT,INDIVIDUAL EQU - N/A</t>
        </is>
      </c>
      <c r="K495" t="inlineStr">
        <is>
          <t>IS</t>
        </is>
      </c>
      <c r="L495" t="inlineStr">
        <is>
          <t>EA</t>
        </is>
      </c>
      <c r="M495" t="inlineStr">
        <is>
          <t>N</t>
        </is>
      </c>
      <c r="N495" t="n">
        <v>58</v>
      </c>
      <c r="O495" t="n">
        <v>0</v>
      </c>
      <c r="P495" t="n">
        <v>58</v>
      </c>
    </row>
    <row r="496">
      <c r="B496" t="n">
        <v>492</v>
      </c>
      <c r="C496" t="inlineStr">
        <is>
          <t>44112</t>
        </is>
      </c>
      <c r="D496" t="inlineStr">
        <is>
          <t>44112</t>
        </is>
      </c>
      <c r="G496" t="inlineStr">
        <is>
          <t>M29113</t>
        </is>
      </c>
      <c r="H496" t="inlineStr">
        <is>
          <t>C0187</t>
        </is>
      </c>
      <c r="I496" t="inlineStr">
        <is>
          <t>C01877B</t>
        </is>
      </c>
      <c r="J496" t="inlineStr">
        <is>
          <t>SHIPPING AND STORAG - CMCI377</t>
        </is>
      </c>
      <c r="K496" t="inlineStr">
        <is>
          <t>IS</t>
        </is>
      </c>
      <c r="L496" t="inlineStr">
        <is>
          <t>EA</t>
        </is>
      </c>
      <c r="M496" t="inlineStr">
        <is>
          <t>N</t>
        </is>
      </c>
      <c r="N496" t="n">
        <v>0</v>
      </c>
      <c r="O496" t="n">
        <v>3</v>
      </c>
      <c r="P496" t="n">
        <v>3</v>
      </c>
    </row>
    <row r="497">
      <c r="B497" t="n">
        <v>493</v>
      </c>
      <c r="C497" t="inlineStr">
        <is>
          <t>44112</t>
        </is>
      </c>
      <c r="D497" t="inlineStr">
        <is>
          <t>44112</t>
        </is>
      </c>
      <c r="G497" t="inlineStr">
        <is>
          <t>M29113</t>
        </is>
      </c>
      <c r="H497" t="inlineStr">
        <is>
          <t>C0188</t>
        </is>
      </c>
      <c r="I497" t="inlineStr">
        <is>
          <t>C01882F</t>
        </is>
      </c>
      <c r="J497" t="inlineStr">
        <is>
          <t>No Item Name Availa - N/A</t>
        </is>
      </c>
      <c r="K497" t="inlineStr">
        <is>
          <t>IS</t>
        </is>
      </c>
      <c r="L497" t="inlineStr"/>
      <c r="M497" t="inlineStr">
        <is>
          <t>N</t>
        </is>
      </c>
      <c r="N497" t="n">
        <v>0</v>
      </c>
      <c r="O497" t="n">
        <v>0</v>
      </c>
      <c r="P497" t="n">
        <v>0</v>
      </c>
    </row>
    <row r="498">
      <c r="B498" t="n">
        <v>494</v>
      </c>
      <c r="C498" t="inlineStr">
        <is>
          <t>44112</t>
        </is>
      </c>
      <c r="D498" t="inlineStr">
        <is>
          <t>44112</t>
        </is>
      </c>
      <c r="G498" t="inlineStr">
        <is>
          <t>M29113</t>
        </is>
      </c>
      <c r="H498" t="inlineStr">
        <is>
          <t>C0189</t>
        </is>
      </c>
      <c r="I498" t="inlineStr">
        <is>
          <t>C01892F</t>
        </is>
      </c>
      <c r="J498" t="inlineStr">
        <is>
          <t>POUCH,MONOCULAR NIG - N/A</t>
        </is>
      </c>
      <c r="K498" t="inlineStr">
        <is>
          <t>IS</t>
        </is>
      </c>
      <c r="L498" t="inlineStr">
        <is>
          <t>EA</t>
        </is>
      </c>
      <c r="M498" t="inlineStr">
        <is>
          <t>N</t>
        </is>
      </c>
      <c r="N498" t="n">
        <v>63</v>
      </c>
      <c r="O498" t="n">
        <v>0</v>
      </c>
      <c r="P498" t="n">
        <v>63</v>
      </c>
    </row>
    <row r="499">
      <c r="B499" t="n">
        <v>495</v>
      </c>
      <c r="C499" t="inlineStr">
        <is>
          <t>44112</t>
        </is>
      </c>
      <c r="D499" t="inlineStr">
        <is>
          <t>44112</t>
        </is>
      </c>
      <c r="G499" t="inlineStr">
        <is>
          <t>M29113</t>
        </is>
      </c>
      <c r="H499" t="inlineStr">
        <is>
          <t>C0190</t>
        </is>
      </c>
      <c r="I499" t="inlineStr">
        <is>
          <t>C01902F</t>
        </is>
      </c>
      <c r="J499" t="inlineStr">
        <is>
          <t>POUCH,TACTICAL HAND - N/A</t>
        </is>
      </c>
      <c r="K499" t="inlineStr">
        <is>
          <t>IS</t>
        </is>
      </c>
      <c r="L499" t="inlineStr">
        <is>
          <t>EA</t>
        </is>
      </c>
      <c r="M499" t="inlineStr">
        <is>
          <t>N</t>
        </is>
      </c>
      <c r="N499" t="n">
        <v>0</v>
      </c>
      <c r="O499" t="n">
        <v>0</v>
      </c>
      <c r="P499" t="n">
        <v>0</v>
      </c>
    </row>
    <row r="500">
      <c r="B500" t="n">
        <v>496</v>
      </c>
      <c r="C500" t="inlineStr">
        <is>
          <t>44112</t>
        </is>
      </c>
      <c r="D500" t="inlineStr">
        <is>
          <t>44112</t>
        </is>
      </c>
      <c r="G500" t="inlineStr">
        <is>
          <t>M29113</t>
        </is>
      </c>
      <c r="H500" t="inlineStr">
        <is>
          <t>C0191</t>
        </is>
      </c>
      <c r="I500" t="inlineStr">
        <is>
          <t>C01912F</t>
        </is>
      </c>
      <c r="J500" t="inlineStr">
        <is>
          <t>CANTEEN,GENERAL PUR - 4015CB</t>
        </is>
      </c>
      <c r="K500" t="inlineStr">
        <is>
          <t>IS</t>
        </is>
      </c>
      <c r="L500" t="inlineStr">
        <is>
          <t>EA</t>
        </is>
      </c>
      <c r="M500" t="inlineStr">
        <is>
          <t>N</t>
        </is>
      </c>
      <c r="N500" t="n">
        <v>116</v>
      </c>
      <c r="O500" t="n">
        <v>0</v>
      </c>
      <c r="P500" t="n">
        <v>116</v>
      </c>
    </row>
    <row r="501">
      <c r="B501" t="n">
        <v>497</v>
      </c>
      <c r="C501" t="inlineStr">
        <is>
          <t>44112</t>
        </is>
      </c>
      <c r="D501" t="inlineStr">
        <is>
          <t>44112</t>
        </is>
      </c>
      <c r="G501" t="inlineStr">
        <is>
          <t>M29113</t>
        </is>
      </c>
      <c r="H501" t="inlineStr">
        <is>
          <t>C0218</t>
        </is>
      </c>
      <c r="I501" t="inlineStr">
        <is>
          <t>C02182B</t>
        </is>
      </c>
      <c r="J501" t="inlineStr">
        <is>
          <t>DECONTAMINATION KIT - 10038819</t>
        </is>
      </c>
      <c r="K501" t="inlineStr">
        <is>
          <t>IS</t>
        </is>
      </c>
      <c r="L501" t="inlineStr">
        <is>
          <t>BX</t>
        </is>
      </c>
      <c r="M501" t="inlineStr">
        <is>
          <t>N</t>
        </is>
      </c>
      <c r="N501" t="n">
        <v>1</v>
      </c>
      <c r="O501" t="n">
        <v>0</v>
      </c>
      <c r="P501" t="n">
        <v>1</v>
      </c>
    </row>
    <row r="502">
      <c r="B502" t="n">
        <v>498</v>
      </c>
      <c r="C502" t="inlineStr">
        <is>
          <t>44112</t>
        </is>
      </c>
      <c r="D502" t="inlineStr">
        <is>
          <t>44112</t>
        </is>
      </c>
      <c r="G502" t="inlineStr">
        <is>
          <t>M29113</t>
        </is>
      </c>
      <c r="H502" t="inlineStr">
        <is>
          <t>C0222</t>
        </is>
      </c>
      <c r="I502" t="inlineStr">
        <is>
          <t>C02222F</t>
        </is>
      </c>
      <c r="J502" t="inlineStr">
        <is>
          <t>HELMET,GROUND TROOP - HC ECH</t>
        </is>
      </c>
      <c r="K502" t="inlineStr">
        <is>
          <t>IS</t>
        </is>
      </c>
      <c r="L502" t="inlineStr">
        <is>
          <t>EA</t>
        </is>
      </c>
      <c r="M502" t="inlineStr">
        <is>
          <t>N</t>
        </is>
      </c>
      <c r="N502" t="n">
        <v>0</v>
      </c>
      <c r="O502" t="n">
        <v>0</v>
      </c>
      <c r="P502" t="n">
        <v>0</v>
      </c>
    </row>
    <row r="503">
      <c r="B503" t="n">
        <v>499</v>
      </c>
      <c r="C503" t="inlineStr">
        <is>
          <t>44112</t>
        </is>
      </c>
      <c r="D503" t="inlineStr">
        <is>
          <t>44112</t>
        </is>
      </c>
      <c r="G503" t="inlineStr">
        <is>
          <t>M29113</t>
        </is>
      </c>
      <c r="H503" t="inlineStr">
        <is>
          <t>C0246</t>
        </is>
      </c>
      <c r="I503" t="inlineStr">
        <is>
          <t>C02462B</t>
        </is>
      </c>
      <c r="J503" t="inlineStr">
        <is>
          <t>HELICOPTER SUPPORT TEAM (HST) KIT</t>
        </is>
      </c>
      <c r="K503" t="inlineStr">
        <is>
          <t>PL</t>
        </is>
      </c>
      <c r="L503" t="inlineStr"/>
      <c r="M503" t="inlineStr">
        <is>
          <t>N</t>
        </is>
      </c>
      <c r="N503" t="n">
        <v>0</v>
      </c>
      <c r="O503" t="n">
        <v>1</v>
      </c>
      <c r="P503" t="n">
        <v>1</v>
      </c>
    </row>
    <row r="504">
      <c r="B504" t="n">
        <v>500</v>
      </c>
      <c r="C504" t="inlineStr">
        <is>
          <t>44112</t>
        </is>
      </c>
      <c r="D504" t="inlineStr">
        <is>
          <t>44112</t>
        </is>
      </c>
      <c r="G504" t="inlineStr">
        <is>
          <t>M29113</t>
        </is>
      </c>
      <c r="H504" t="inlineStr">
        <is>
          <t>C0247</t>
        </is>
      </c>
      <c r="I504" t="inlineStr">
        <is>
          <t>C02472Z</t>
        </is>
      </c>
      <c r="J504" t="inlineStr">
        <is>
          <t>JOINT SERVICE GENERAL PURPOSE MASK, FIELD (M50) - M50</t>
        </is>
      </c>
      <c r="K504" t="inlineStr">
        <is>
          <t>PL</t>
        </is>
      </c>
      <c r="L504" t="inlineStr"/>
      <c r="M504" t="inlineStr">
        <is>
          <t>N</t>
        </is>
      </c>
      <c r="N504" t="n">
        <v>58</v>
      </c>
      <c r="O504" t="n">
        <v>0</v>
      </c>
      <c r="P504" t="n">
        <v>58</v>
      </c>
    </row>
    <row r="505">
      <c r="B505" t="n">
        <v>501</v>
      </c>
      <c r="C505" t="inlineStr">
        <is>
          <t>44112</t>
        </is>
      </c>
      <c r="D505" t="inlineStr">
        <is>
          <t>44112</t>
        </is>
      </c>
      <c r="G505" t="inlineStr">
        <is>
          <t>M29113</t>
        </is>
      </c>
      <c r="H505" t="inlineStr">
        <is>
          <t>C0260</t>
        </is>
      </c>
      <c r="I505" t="inlineStr">
        <is>
          <t>C02602F</t>
        </is>
      </c>
      <c r="J505" t="inlineStr">
        <is>
          <t>GAITER,NECK - A-A-55247</t>
        </is>
      </c>
      <c r="K505" t="inlineStr">
        <is>
          <t>IS</t>
        </is>
      </c>
      <c r="L505" t="inlineStr">
        <is>
          <t>EA</t>
        </is>
      </c>
      <c r="M505" t="inlineStr">
        <is>
          <t>N</t>
        </is>
      </c>
      <c r="N505" t="n">
        <v>58</v>
      </c>
      <c r="O505" t="n">
        <v>0</v>
      </c>
      <c r="P505" t="n">
        <v>58</v>
      </c>
    </row>
    <row r="506">
      <c r="B506" t="n">
        <v>502</v>
      </c>
      <c r="C506" t="inlineStr">
        <is>
          <t>44112</t>
        </is>
      </c>
      <c r="D506" t="inlineStr">
        <is>
          <t>44112</t>
        </is>
      </c>
      <c r="G506" t="inlineStr">
        <is>
          <t>M29113</t>
        </is>
      </c>
      <c r="H506" t="inlineStr">
        <is>
          <t>C1023</t>
        </is>
      </c>
      <c r="I506" t="inlineStr">
        <is>
          <t>C10232F</t>
        </is>
      </c>
      <c r="J506" t="inlineStr">
        <is>
          <t>HOOD,COMBAT VEHICLE - MIL-H-44265</t>
        </is>
      </c>
      <c r="K506" t="inlineStr">
        <is>
          <t>IS</t>
        </is>
      </c>
      <c r="L506" t="inlineStr"/>
      <c r="M506" t="inlineStr">
        <is>
          <t>N</t>
        </is>
      </c>
      <c r="N506" t="n">
        <v>0</v>
      </c>
      <c r="O506" t="n">
        <v>2</v>
      </c>
      <c r="P506" t="n">
        <v>2</v>
      </c>
    </row>
    <row r="507">
      <c r="B507" t="n">
        <v>503</v>
      </c>
      <c r="C507" t="inlineStr">
        <is>
          <t>44112</t>
        </is>
      </c>
      <c r="D507" t="inlineStr">
        <is>
          <t>44112</t>
        </is>
      </c>
      <c r="G507" t="inlineStr">
        <is>
          <t>M29113</t>
        </is>
      </c>
      <c r="H507" t="inlineStr">
        <is>
          <t>C1055</t>
        </is>
      </c>
      <c r="I507" t="inlineStr">
        <is>
          <t>C10552F</t>
        </is>
      </c>
      <c r="J507" t="inlineStr">
        <is>
          <t>CAP,COLD WEATHER - CR/PD01-09</t>
        </is>
      </c>
      <c r="K507" t="inlineStr">
        <is>
          <t>IS</t>
        </is>
      </c>
      <c r="L507" t="inlineStr">
        <is>
          <t>EA</t>
        </is>
      </c>
      <c r="M507" t="inlineStr">
        <is>
          <t>N</t>
        </is>
      </c>
      <c r="N507" t="n">
        <v>58</v>
      </c>
      <c r="O507" t="n">
        <v>0</v>
      </c>
      <c r="P507" t="n">
        <v>58</v>
      </c>
    </row>
    <row r="508">
      <c r="B508" t="n">
        <v>504</v>
      </c>
      <c r="C508" t="inlineStr">
        <is>
          <t>44112</t>
        </is>
      </c>
      <c r="D508" t="inlineStr">
        <is>
          <t>44112</t>
        </is>
      </c>
      <c r="G508" t="inlineStr">
        <is>
          <t>M29113</t>
        </is>
      </c>
      <c r="H508" t="inlineStr">
        <is>
          <t>C1107</t>
        </is>
      </c>
      <c r="I508" t="inlineStr">
        <is>
          <t>C11072F</t>
        </is>
      </c>
      <c r="J508" t="inlineStr">
        <is>
          <t>GLOVES,MEN'S AND WO - SIZE 3</t>
        </is>
      </c>
      <c r="K508" t="inlineStr">
        <is>
          <t>IS</t>
        </is>
      </c>
      <c r="L508" t="inlineStr">
        <is>
          <t>PR</t>
        </is>
      </c>
      <c r="M508" t="inlineStr">
        <is>
          <t>N</t>
        </is>
      </c>
      <c r="N508" t="n">
        <v>58</v>
      </c>
      <c r="O508" t="n">
        <v>0</v>
      </c>
      <c r="P508" t="n">
        <v>58</v>
      </c>
    </row>
    <row r="509">
      <c r="B509" t="n">
        <v>505</v>
      </c>
      <c r="C509" t="inlineStr">
        <is>
          <t>44112</t>
        </is>
      </c>
      <c r="D509" t="inlineStr">
        <is>
          <t>44112</t>
        </is>
      </c>
      <c r="G509" t="inlineStr">
        <is>
          <t>M29113</t>
        </is>
      </c>
      <c r="H509" t="inlineStr">
        <is>
          <t>C1120</t>
        </is>
      </c>
      <c r="I509" t="inlineStr">
        <is>
          <t>C11202F</t>
        </is>
      </c>
      <c r="J509" t="inlineStr">
        <is>
          <t>GLOVE INSERTS,COLD - 70113</t>
        </is>
      </c>
      <c r="K509" t="inlineStr">
        <is>
          <t>IS</t>
        </is>
      </c>
      <c r="L509" t="inlineStr">
        <is>
          <t>PR</t>
        </is>
      </c>
      <c r="M509" t="inlineStr">
        <is>
          <t>N</t>
        </is>
      </c>
      <c r="N509" t="n">
        <v>116</v>
      </c>
      <c r="O509" t="n">
        <v>0</v>
      </c>
      <c r="P509" t="n">
        <v>116</v>
      </c>
    </row>
    <row r="510">
      <c r="B510" t="n">
        <v>506</v>
      </c>
      <c r="C510" t="inlineStr">
        <is>
          <t>44112</t>
        </is>
      </c>
      <c r="D510" t="inlineStr">
        <is>
          <t>44112</t>
        </is>
      </c>
      <c r="G510" t="inlineStr">
        <is>
          <t>M29113</t>
        </is>
      </c>
      <c r="H510" t="inlineStr">
        <is>
          <t>C2130</t>
        </is>
      </c>
      <c r="I510" t="inlineStr">
        <is>
          <t>C21302F</t>
        </is>
      </c>
      <c r="J510" t="inlineStr">
        <is>
          <t>OVERSHOES,NUCLEAR,B - MALO</t>
        </is>
      </c>
      <c r="K510" t="inlineStr">
        <is>
          <t>IS</t>
        </is>
      </c>
      <c r="L510" t="inlineStr">
        <is>
          <t>PR</t>
        </is>
      </c>
      <c r="M510" t="inlineStr">
        <is>
          <t>N</t>
        </is>
      </c>
      <c r="N510" t="n">
        <v>116</v>
      </c>
      <c r="O510" t="n">
        <v>0</v>
      </c>
      <c r="P510" t="n">
        <v>116</v>
      </c>
    </row>
    <row r="511">
      <c r="B511" t="n">
        <v>507</v>
      </c>
      <c r="C511" t="inlineStr">
        <is>
          <t>44112</t>
        </is>
      </c>
      <c r="D511" t="inlineStr">
        <is>
          <t>44112</t>
        </is>
      </c>
      <c r="G511" t="inlineStr">
        <is>
          <t>M29113</t>
        </is>
      </c>
      <c r="H511" t="inlineStr">
        <is>
          <t>C2150</t>
        </is>
      </c>
      <c r="I511" t="inlineStr">
        <is>
          <t>C21502F</t>
        </is>
      </c>
      <c r="J511" t="inlineStr">
        <is>
          <t>GLOVE INSERTS,NUCLE - DSSPM330-01</t>
        </is>
      </c>
      <c r="K511" t="inlineStr">
        <is>
          <t>IS</t>
        </is>
      </c>
      <c r="L511" t="inlineStr">
        <is>
          <t>PR</t>
        </is>
      </c>
      <c r="M511" t="inlineStr">
        <is>
          <t>N</t>
        </is>
      </c>
      <c r="N511" t="n">
        <v>116</v>
      </c>
      <c r="O511" t="n">
        <v>0</v>
      </c>
      <c r="P511" t="n">
        <v>116</v>
      </c>
    </row>
    <row r="512">
      <c r="B512" t="n">
        <v>508</v>
      </c>
      <c r="C512" t="inlineStr">
        <is>
          <t>44112</t>
        </is>
      </c>
      <c r="D512" t="inlineStr">
        <is>
          <t>44112</t>
        </is>
      </c>
      <c r="G512" t="inlineStr">
        <is>
          <t>M29113</t>
        </is>
      </c>
      <c r="H512" t="inlineStr">
        <is>
          <t>C2170</t>
        </is>
      </c>
      <c r="I512" t="inlineStr">
        <is>
          <t>C21702E</t>
        </is>
      </c>
      <c r="J512" t="inlineStr">
        <is>
          <t>SPECTACLES,INDUSTRI</t>
        </is>
      </c>
      <c r="K512" t="inlineStr">
        <is>
          <t>IS</t>
        </is>
      </c>
      <c r="L512" t="inlineStr">
        <is>
          <t>EA</t>
        </is>
      </c>
      <c r="M512" t="inlineStr">
        <is>
          <t>N</t>
        </is>
      </c>
      <c r="N512" t="n">
        <v>58</v>
      </c>
      <c r="O512" t="n">
        <v>0</v>
      </c>
      <c r="P512" t="n">
        <v>58</v>
      </c>
    </row>
    <row r="513">
      <c r="B513" t="n">
        <v>509</v>
      </c>
      <c r="C513" t="inlineStr">
        <is>
          <t>44112</t>
        </is>
      </c>
      <c r="D513" t="inlineStr">
        <is>
          <t>44112</t>
        </is>
      </c>
      <c r="G513" t="inlineStr">
        <is>
          <t>M29113</t>
        </is>
      </c>
      <c r="H513" t="inlineStr">
        <is>
          <t>C2171</t>
        </is>
      </c>
      <c r="I513" t="inlineStr">
        <is>
          <t>C21712E</t>
        </is>
      </c>
      <c r="J513" t="inlineStr">
        <is>
          <t>GOGGLES,INDUSTRIAL - INFLUX</t>
        </is>
      </c>
      <c r="K513" t="inlineStr">
        <is>
          <t>IS</t>
        </is>
      </c>
      <c r="L513" t="inlineStr">
        <is>
          <t>EA</t>
        </is>
      </c>
      <c r="M513" t="inlineStr">
        <is>
          <t>N</t>
        </is>
      </c>
      <c r="N513" t="n">
        <v>58</v>
      </c>
      <c r="O513" t="n">
        <v>0</v>
      </c>
      <c r="P513" t="n">
        <v>58</v>
      </c>
    </row>
    <row r="514">
      <c r="B514" t="n">
        <v>510</v>
      </c>
      <c r="C514" t="inlineStr">
        <is>
          <t>44112</t>
        </is>
      </c>
      <c r="D514" t="inlineStr">
        <is>
          <t>44112</t>
        </is>
      </c>
      <c r="G514" t="inlineStr">
        <is>
          <t>M29113</t>
        </is>
      </c>
      <c r="H514" t="inlineStr">
        <is>
          <t>C2200</t>
        </is>
      </c>
      <c r="I514" t="inlineStr">
        <is>
          <t>C22002E</t>
        </is>
      </c>
      <c r="J514" t="inlineStr">
        <is>
          <t>REACTIVE SKIN DECON - JSPDS/RSDL</t>
        </is>
      </c>
      <c r="K514" t="inlineStr">
        <is>
          <t>IS</t>
        </is>
      </c>
      <c r="L514" t="inlineStr">
        <is>
          <t>PG</t>
        </is>
      </c>
      <c r="M514" t="inlineStr">
        <is>
          <t>N</t>
        </is>
      </c>
      <c r="N514" t="n">
        <v>3</v>
      </c>
      <c r="O514" t="n">
        <v>0</v>
      </c>
      <c r="P514" t="n">
        <v>3</v>
      </c>
    </row>
    <row r="515">
      <c r="B515" t="n">
        <v>511</v>
      </c>
      <c r="C515" t="inlineStr">
        <is>
          <t>44112</t>
        </is>
      </c>
      <c r="D515" t="inlineStr">
        <is>
          <t>44112</t>
        </is>
      </c>
      <c r="G515" t="inlineStr">
        <is>
          <t>M29113</t>
        </is>
      </c>
      <c r="H515" t="inlineStr">
        <is>
          <t>C3020</t>
        </is>
      </c>
      <c r="I515" t="inlineStr">
        <is>
          <t>C30202E</t>
        </is>
      </c>
      <c r="J515" t="inlineStr">
        <is>
          <t>INSERTS,ENHANCED SM -  CO/PD 04-10</t>
        </is>
      </c>
      <c r="K515" t="inlineStr">
        <is>
          <t>IS</t>
        </is>
      </c>
      <c r="L515" t="inlineStr">
        <is>
          <t>EA</t>
        </is>
      </c>
      <c r="M515" t="inlineStr">
        <is>
          <t>N</t>
        </is>
      </c>
      <c r="N515" t="n">
        <v>116</v>
      </c>
      <c r="O515" t="n">
        <v>0</v>
      </c>
      <c r="P515" t="n">
        <v>116</v>
      </c>
    </row>
    <row r="516">
      <c r="B516" t="n">
        <v>512</v>
      </c>
      <c r="C516" t="inlineStr">
        <is>
          <t>44112</t>
        </is>
      </c>
      <c r="D516" t="inlineStr">
        <is>
          <t>44112</t>
        </is>
      </c>
      <c r="G516" t="inlineStr">
        <is>
          <t>M29113</t>
        </is>
      </c>
      <c r="H516" t="inlineStr">
        <is>
          <t>C3060</t>
        </is>
      </c>
      <c r="I516" t="inlineStr">
        <is>
          <t>C30602E</t>
        </is>
      </c>
      <c r="J516" t="inlineStr">
        <is>
          <t>CANTEEN,WATER - MIL-C-43103</t>
        </is>
      </c>
      <c r="K516" t="inlineStr">
        <is>
          <t>IS</t>
        </is>
      </c>
      <c r="L516" t="inlineStr">
        <is>
          <t>EA</t>
        </is>
      </c>
      <c r="M516" t="inlineStr">
        <is>
          <t>N</t>
        </is>
      </c>
      <c r="N516" t="n">
        <v>116</v>
      </c>
      <c r="O516" t="n">
        <v>0</v>
      </c>
      <c r="P516" t="n">
        <v>116</v>
      </c>
    </row>
    <row r="517">
      <c r="B517" t="n">
        <v>513</v>
      </c>
      <c r="C517" t="inlineStr">
        <is>
          <t>44112</t>
        </is>
      </c>
      <c r="D517" t="inlineStr">
        <is>
          <t>44112</t>
        </is>
      </c>
      <c r="G517" t="inlineStr">
        <is>
          <t>M29113</t>
        </is>
      </c>
      <c r="H517" t="inlineStr">
        <is>
          <t>C3070</t>
        </is>
      </c>
      <c r="I517" t="inlineStr">
        <is>
          <t>C30702E</t>
        </is>
      </c>
      <c r="J517" t="inlineStr">
        <is>
          <t>CARRIER,INTRENCHING - 390-04A</t>
        </is>
      </c>
      <c r="K517" t="inlineStr">
        <is>
          <t>IS</t>
        </is>
      </c>
      <c r="L517" t="inlineStr">
        <is>
          <t>EA</t>
        </is>
      </c>
      <c r="M517" t="inlineStr">
        <is>
          <t>N</t>
        </is>
      </c>
      <c r="N517" t="n">
        <v>58</v>
      </c>
      <c r="O517" t="n">
        <v>0</v>
      </c>
      <c r="P517" t="n">
        <v>58</v>
      </c>
    </row>
    <row r="518">
      <c r="B518" t="n">
        <v>514</v>
      </c>
      <c r="C518" t="inlineStr">
        <is>
          <t>44112</t>
        </is>
      </c>
      <c r="D518" t="inlineStr">
        <is>
          <t>44112</t>
        </is>
      </c>
      <c r="G518" t="inlineStr">
        <is>
          <t>M29113</t>
        </is>
      </c>
      <c r="H518" t="inlineStr">
        <is>
          <t>C3124</t>
        </is>
      </c>
      <c r="I518" t="inlineStr">
        <is>
          <t>C31242F</t>
        </is>
      </c>
      <c r="J518" t="inlineStr">
        <is>
          <t>COVER,HELMET - N/A</t>
        </is>
      </c>
      <c r="K518" t="inlineStr">
        <is>
          <t>IS</t>
        </is>
      </c>
      <c r="L518" t="inlineStr">
        <is>
          <t>EA</t>
        </is>
      </c>
      <c r="M518" t="inlineStr">
        <is>
          <t>N</t>
        </is>
      </c>
      <c r="N518" t="n">
        <v>52</v>
      </c>
      <c r="O518" t="n">
        <v>0</v>
      </c>
      <c r="P518" t="n">
        <v>52</v>
      </c>
    </row>
    <row r="519">
      <c r="B519" t="n">
        <v>515</v>
      </c>
      <c r="C519" t="inlineStr">
        <is>
          <t>44112</t>
        </is>
      </c>
      <c r="D519" t="inlineStr">
        <is>
          <t>44112</t>
        </is>
      </c>
      <c r="G519" t="inlineStr">
        <is>
          <t>M29113</t>
        </is>
      </c>
      <c r="H519" t="inlineStr">
        <is>
          <t>C3140</t>
        </is>
      </c>
      <c r="I519" t="inlineStr">
        <is>
          <t>C31402E</t>
        </is>
      </c>
      <c r="J519" t="inlineStr">
        <is>
          <t>CUP,WATER CANTEEN - MIL-C-73761</t>
        </is>
      </c>
      <c r="K519" t="inlineStr">
        <is>
          <t>IS</t>
        </is>
      </c>
      <c r="L519" t="inlineStr">
        <is>
          <t>EA</t>
        </is>
      </c>
      <c r="M519" t="inlineStr">
        <is>
          <t>N</t>
        </is>
      </c>
      <c r="N519" t="n">
        <v>58</v>
      </c>
      <c r="O519" t="n">
        <v>0</v>
      </c>
      <c r="P519" t="n">
        <v>58</v>
      </c>
    </row>
    <row r="520">
      <c r="B520" t="n">
        <v>516</v>
      </c>
      <c r="C520" t="inlineStr">
        <is>
          <t>44112</t>
        </is>
      </c>
      <c r="D520" t="inlineStr">
        <is>
          <t>44112</t>
        </is>
      </c>
      <c r="G520" t="inlineStr">
        <is>
          <t>M29113</t>
        </is>
      </c>
      <c r="H520" t="inlineStr">
        <is>
          <t>C3150</t>
        </is>
      </c>
      <c r="I520" t="inlineStr">
        <is>
          <t>C31502F</t>
        </is>
      </c>
      <c r="J520" t="inlineStr">
        <is>
          <t>FIRST AID KIT,INDIV - 1IFAK</t>
        </is>
      </c>
      <c r="K520" t="inlineStr">
        <is>
          <t>IS</t>
        </is>
      </c>
      <c r="L520" t="inlineStr">
        <is>
          <t>KT</t>
        </is>
      </c>
      <c r="M520" t="inlineStr">
        <is>
          <t>N</t>
        </is>
      </c>
      <c r="N520" t="n">
        <v>0</v>
      </c>
      <c r="O520" t="n">
        <v>63</v>
      </c>
      <c r="P520" t="n">
        <v>63</v>
      </c>
    </row>
    <row r="521">
      <c r="B521" t="n">
        <v>517</v>
      </c>
      <c r="C521" t="inlineStr">
        <is>
          <t>44112</t>
        </is>
      </c>
      <c r="D521" t="inlineStr">
        <is>
          <t>44112</t>
        </is>
      </c>
      <c r="G521" t="inlineStr">
        <is>
          <t>M29113</t>
        </is>
      </c>
      <c r="H521" t="inlineStr">
        <is>
          <t>C3215</t>
        </is>
      </c>
      <c r="I521" t="inlineStr">
        <is>
          <t>C32152E</t>
        </is>
      </c>
      <c r="J521" t="inlineStr">
        <is>
          <t>HELMET,GROUND TROOP - A12769</t>
        </is>
      </c>
      <c r="K521" t="inlineStr">
        <is>
          <t>IS</t>
        </is>
      </c>
      <c r="L521" t="inlineStr">
        <is>
          <t>EA</t>
        </is>
      </c>
      <c r="M521" t="inlineStr">
        <is>
          <t>N</t>
        </is>
      </c>
      <c r="N521" t="n">
        <v>52</v>
      </c>
      <c r="O521" t="n">
        <v>0</v>
      </c>
      <c r="P521" t="n">
        <v>52</v>
      </c>
    </row>
    <row r="522">
      <c r="B522" t="n">
        <v>518</v>
      </c>
      <c r="C522" t="inlineStr">
        <is>
          <t>44112</t>
        </is>
      </c>
      <c r="D522" t="inlineStr">
        <is>
          <t>44112</t>
        </is>
      </c>
      <c r="G522" t="inlineStr">
        <is>
          <t>M29113</t>
        </is>
      </c>
      <c r="H522" t="inlineStr">
        <is>
          <t>C3230</t>
        </is>
      </c>
      <c r="I522" t="inlineStr">
        <is>
          <t>C32302E</t>
        </is>
      </c>
      <c r="J522" t="inlineStr">
        <is>
          <t>INTRENCHING TOOL,HA - 05940</t>
        </is>
      </c>
      <c r="K522" t="inlineStr">
        <is>
          <t>IS</t>
        </is>
      </c>
      <c r="L522" t="inlineStr">
        <is>
          <t>EA</t>
        </is>
      </c>
      <c r="M522" t="inlineStr">
        <is>
          <t>N</t>
        </is>
      </c>
      <c r="N522" t="n">
        <v>58</v>
      </c>
      <c r="O522" t="n">
        <v>0</v>
      </c>
      <c r="P522" t="n">
        <v>58</v>
      </c>
    </row>
    <row r="523">
      <c r="B523" t="n">
        <v>519</v>
      </c>
      <c r="C523" t="inlineStr">
        <is>
          <t>44112</t>
        </is>
      </c>
      <c r="D523" t="inlineStr">
        <is>
          <t>44112</t>
        </is>
      </c>
      <c r="G523" t="inlineStr">
        <is>
          <t>M29113</t>
        </is>
      </c>
      <c r="H523" t="inlineStr">
        <is>
          <t>C3250</t>
        </is>
      </c>
      <c r="I523" t="inlineStr">
        <is>
          <t>C32502E</t>
        </is>
      </c>
      <c r="J523" t="inlineStr">
        <is>
          <t>KNIFE,COMBAT - MIL-K-20277</t>
        </is>
      </c>
      <c r="K523" t="inlineStr">
        <is>
          <t>IS</t>
        </is>
      </c>
      <c r="L523" t="inlineStr">
        <is>
          <t>EA</t>
        </is>
      </c>
      <c r="M523" t="inlineStr">
        <is>
          <t>N</t>
        </is>
      </c>
      <c r="N523" t="n">
        <v>0</v>
      </c>
      <c r="O523" t="n">
        <v>2</v>
      </c>
      <c r="P523" t="n">
        <v>2</v>
      </c>
    </row>
    <row r="524">
      <c r="B524" t="n">
        <v>520</v>
      </c>
      <c r="C524" t="inlineStr">
        <is>
          <t>44112</t>
        </is>
      </c>
      <c r="D524" t="inlineStr">
        <is>
          <t>44112</t>
        </is>
      </c>
      <c r="G524" t="inlineStr">
        <is>
          <t>M29113</t>
        </is>
      </c>
      <c r="H524" t="inlineStr">
        <is>
          <t>C3400</t>
        </is>
      </c>
      <c r="I524" t="inlineStr">
        <is>
          <t>C34002F</t>
        </is>
      </c>
      <c r="J524" t="inlineStr">
        <is>
          <t>TARPAULIN - 8405-00-NSH-00</t>
        </is>
      </c>
      <c r="K524" t="inlineStr">
        <is>
          <t>IS</t>
        </is>
      </c>
      <c r="L524" t="inlineStr">
        <is>
          <t>EA</t>
        </is>
      </c>
      <c r="M524" t="inlineStr">
        <is>
          <t>N</t>
        </is>
      </c>
      <c r="N524" t="n">
        <v>58</v>
      </c>
      <c r="O524" t="n">
        <v>0</v>
      </c>
      <c r="P524" t="n">
        <v>58</v>
      </c>
    </row>
    <row r="525">
      <c r="B525" t="n">
        <v>521</v>
      </c>
      <c r="C525" t="inlineStr">
        <is>
          <t>44112</t>
        </is>
      </c>
      <c r="D525" t="inlineStr">
        <is>
          <t>44112</t>
        </is>
      </c>
      <c r="G525" t="inlineStr">
        <is>
          <t>M29113</t>
        </is>
      </c>
      <c r="H525" t="inlineStr">
        <is>
          <t>C3414</t>
        </is>
      </c>
      <c r="I525" t="inlineStr">
        <is>
          <t>C34142E</t>
        </is>
      </c>
      <c r="J525" t="inlineStr">
        <is>
          <t>TENT,COMBAT,TWO MAN - 2628916</t>
        </is>
      </c>
      <c r="K525" t="inlineStr">
        <is>
          <t>IS</t>
        </is>
      </c>
      <c r="L525" t="inlineStr">
        <is>
          <t>EA</t>
        </is>
      </c>
      <c r="M525" t="inlineStr">
        <is>
          <t>N</t>
        </is>
      </c>
      <c r="N525" t="n">
        <v>29</v>
      </c>
      <c r="O525" t="n">
        <v>0</v>
      </c>
      <c r="P525" t="n">
        <v>29</v>
      </c>
    </row>
    <row r="526">
      <c r="B526" t="n">
        <v>522</v>
      </c>
      <c r="C526" t="inlineStr">
        <is>
          <t>44112</t>
        </is>
      </c>
      <c r="D526" t="inlineStr">
        <is>
          <t>44112</t>
        </is>
      </c>
      <c r="G526" t="inlineStr">
        <is>
          <t>M29113</t>
        </is>
      </c>
      <c r="H526" t="inlineStr">
        <is>
          <t>C3421</t>
        </is>
      </c>
      <c r="I526" t="inlineStr">
        <is>
          <t>C34212F</t>
        </is>
      </c>
      <c r="J526" t="inlineStr">
        <is>
          <t>MODULAR SLEEP SYSTE - W91AZKLG</t>
        </is>
      </c>
      <c r="K526" t="inlineStr">
        <is>
          <t>IS</t>
        </is>
      </c>
      <c r="L526" t="inlineStr">
        <is>
          <t>EA</t>
        </is>
      </c>
      <c r="M526" t="inlineStr">
        <is>
          <t>N</t>
        </is>
      </c>
      <c r="N526" t="n">
        <v>58</v>
      </c>
      <c r="O526" t="n">
        <v>0</v>
      </c>
      <c r="P526" t="n">
        <v>58</v>
      </c>
    </row>
    <row r="527">
      <c r="B527" t="n">
        <v>523</v>
      </c>
      <c r="C527" t="inlineStr">
        <is>
          <t>44112</t>
        </is>
      </c>
      <c r="D527" t="inlineStr">
        <is>
          <t>44112</t>
        </is>
      </c>
      <c r="G527" t="inlineStr">
        <is>
          <t>M29113</t>
        </is>
      </c>
      <c r="H527" t="inlineStr">
        <is>
          <t>C3423</t>
        </is>
      </c>
      <c r="I527" t="inlineStr">
        <is>
          <t>C34232E</t>
        </is>
      </c>
      <c r="J527" t="inlineStr">
        <is>
          <t>STAND,CANTEEN CUP - MIL-S-44221</t>
        </is>
      </c>
      <c r="K527" t="inlineStr">
        <is>
          <t>IS</t>
        </is>
      </c>
      <c r="L527" t="inlineStr">
        <is>
          <t>EA</t>
        </is>
      </c>
      <c r="M527" t="inlineStr">
        <is>
          <t>N</t>
        </is>
      </c>
      <c r="N527" t="n">
        <v>58</v>
      </c>
      <c r="O527" t="n">
        <v>0</v>
      </c>
      <c r="P527" t="n">
        <v>58</v>
      </c>
    </row>
    <row r="528">
      <c r="B528" t="n">
        <v>524</v>
      </c>
      <c r="C528" t="inlineStr">
        <is>
          <t>44112</t>
        </is>
      </c>
      <c r="D528" t="inlineStr">
        <is>
          <t>44112</t>
        </is>
      </c>
      <c r="G528" t="inlineStr">
        <is>
          <t>M29113</t>
        </is>
      </c>
      <c r="H528" t="inlineStr">
        <is>
          <t>C4433</t>
        </is>
      </c>
      <c r="I528" t="inlineStr">
        <is>
          <t>C44332E</t>
        </is>
      </c>
      <c r="J528" t="inlineStr">
        <is>
          <t>SHIPPING AND STORAG - SB812M</t>
        </is>
      </c>
      <c r="K528" t="inlineStr">
        <is>
          <t>IS</t>
        </is>
      </c>
      <c r="L528" t="inlineStr">
        <is>
          <t>EA</t>
        </is>
      </c>
      <c r="M528" t="inlineStr">
        <is>
          <t>N</t>
        </is>
      </c>
      <c r="N528" t="n">
        <v>0</v>
      </c>
      <c r="O528" t="n">
        <v>6</v>
      </c>
      <c r="P528" t="n">
        <v>6</v>
      </c>
    </row>
    <row r="529">
      <c r="B529" t="n">
        <v>525</v>
      </c>
      <c r="C529" t="inlineStr">
        <is>
          <t>44112</t>
        </is>
      </c>
      <c r="D529" t="inlineStr">
        <is>
          <t>44112</t>
        </is>
      </c>
      <c r="G529" t="inlineStr">
        <is>
          <t>M29113</t>
        </is>
      </c>
      <c r="H529" t="inlineStr">
        <is>
          <t>C4546</t>
        </is>
      </c>
      <c r="I529" t="inlineStr">
        <is>
          <t>C45462E</t>
        </is>
      </c>
      <c r="J529" t="inlineStr">
        <is>
          <t>DISPENSER,LIQUID,IN - 7505</t>
        </is>
      </c>
      <c r="K529" t="inlineStr">
        <is>
          <t>IS</t>
        </is>
      </c>
      <c r="L529" t="inlineStr">
        <is>
          <t>EA</t>
        </is>
      </c>
      <c r="M529" t="inlineStr">
        <is>
          <t>N</t>
        </is>
      </c>
      <c r="N529" t="n">
        <v>0</v>
      </c>
      <c r="O529" t="n">
        <v>3</v>
      </c>
      <c r="P529" t="n">
        <v>3</v>
      </c>
    </row>
    <row r="530">
      <c r="B530" t="n">
        <v>526</v>
      </c>
      <c r="C530" t="inlineStr">
        <is>
          <t>44112</t>
        </is>
      </c>
      <c r="D530" t="inlineStr">
        <is>
          <t>44112</t>
        </is>
      </c>
      <c r="G530" t="inlineStr">
        <is>
          <t>M29113</t>
        </is>
      </c>
      <c r="H530" t="inlineStr">
        <is>
          <t>C4880</t>
        </is>
      </c>
      <c r="I530" t="inlineStr">
        <is>
          <t>C48802E</t>
        </is>
      </c>
      <c r="J530" t="inlineStr">
        <is>
          <t>FOOD TRANSPORTER,IN - A-A-52193</t>
        </is>
      </c>
      <c r="K530" t="inlineStr">
        <is>
          <t>IS</t>
        </is>
      </c>
      <c r="L530" t="inlineStr">
        <is>
          <t>EA</t>
        </is>
      </c>
      <c r="M530" t="inlineStr">
        <is>
          <t>N</t>
        </is>
      </c>
      <c r="N530" t="n">
        <v>0</v>
      </c>
      <c r="O530" t="n">
        <v>3</v>
      </c>
      <c r="P530" t="n">
        <v>3</v>
      </c>
    </row>
    <row r="531">
      <c r="B531" t="n">
        <v>527</v>
      </c>
      <c r="C531" t="inlineStr">
        <is>
          <t>44112</t>
        </is>
      </c>
      <c r="D531" t="inlineStr">
        <is>
          <t>44112</t>
        </is>
      </c>
      <c r="G531" t="inlineStr">
        <is>
          <t>M29113</t>
        </is>
      </c>
      <c r="H531" t="inlineStr">
        <is>
          <t>C5265</t>
        </is>
      </c>
      <c r="I531" t="inlineStr">
        <is>
          <t>C52652E</t>
        </is>
      </c>
      <c r="J531" t="inlineStr">
        <is>
          <t>MASK SYSTEM,CHEMICA - M50</t>
        </is>
      </c>
      <c r="K531" t="inlineStr">
        <is>
          <t>IS</t>
        </is>
      </c>
      <c r="L531" t="inlineStr">
        <is>
          <t>EA</t>
        </is>
      </c>
      <c r="M531" t="inlineStr">
        <is>
          <t>N</t>
        </is>
      </c>
      <c r="N531" t="n">
        <v>58</v>
      </c>
      <c r="O531" t="n">
        <v>0</v>
      </c>
      <c r="P531" t="n">
        <v>58</v>
      </c>
    </row>
    <row r="532">
      <c r="B532" t="n">
        <v>528</v>
      </c>
      <c r="C532" t="inlineStr">
        <is>
          <t>44112</t>
        </is>
      </c>
      <c r="D532" t="inlineStr">
        <is>
          <t>44112</t>
        </is>
      </c>
      <c r="G532" t="inlineStr">
        <is>
          <t>M29113</t>
        </is>
      </c>
      <c r="H532" t="inlineStr">
        <is>
          <t>C5440</t>
        </is>
      </c>
      <c r="I532" t="inlineStr">
        <is>
          <t>C54402F</t>
        </is>
      </c>
      <c r="J532" t="inlineStr">
        <is>
          <t>FIELD PACK - F190186393</t>
        </is>
      </c>
      <c r="K532" t="inlineStr">
        <is>
          <t>IS</t>
        </is>
      </c>
      <c r="L532" t="inlineStr">
        <is>
          <t>EA</t>
        </is>
      </c>
      <c r="M532" t="inlineStr">
        <is>
          <t>N</t>
        </is>
      </c>
      <c r="N532" t="n">
        <v>58</v>
      </c>
      <c r="O532" t="n">
        <v>0</v>
      </c>
      <c r="P532" t="n">
        <v>58</v>
      </c>
    </row>
    <row r="533">
      <c r="B533" t="n">
        <v>529</v>
      </c>
      <c r="C533" t="inlineStr">
        <is>
          <t>44112</t>
        </is>
      </c>
      <c r="D533" t="inlineStr">
        <is>
          <t>44112</t>
        </is>
      </c>
      <c r="G533" t="inlineStr">
        <is>
          <t>M29113</t>
        </is>
      </c>
      <c r="H533" t="inlineStr">
        <is>
          <t>C5652</t>
        </is>
      </c>
      <c r="I533" t="inlineStr">
        <is>
          <t>C56522F</t>
        </is>
      </c>
      <c r="J533" t="inlineStr">
        <is>
          <t>No Item Name Availa - APECS 3RD GEN</t>
        </is>
      </c>
      <c r="K533" t="inlineStr">
        <is>
          <t>IS</t>
        </is>
      </c>
      <c r="L533" t="inlineStr"/>
      <c r="M533" t="inlineStr">
        <is>
          <t>N</t>
        </is>
      </c>
      <c r="N533" t="n">
        <v>58</v>
      </c>
      <c r="O533" t="n">
        <v>0</v>
      </c>
      <c r="P533" t="n">
        <v>58</v>
      </c>
    </row>
    <row r="534">
      <c r="B534" t="n">
        <v>530</v>
      </c>
      <c r="C534" t="inlineStr">
        <is>
          <t>44112</t>
        </is>
      </c>
      <c r="D534" t="inlineStr">
        <is>
          <t>44112</t>
        </is>
      </c>
      <c r="G534" t="inlineStr">
        <is>
          <t>M29113</t>
        </is>
      </c>
      <c r="H534" t="inlineStr">
        <is>
          <t>C6632</t>
        </is>
      </c>
      <c r="I534" t="inlineStr">
        <is>
          <t>C66322F</t>
        </is>
      </c>
      <c r="J534" t="inlineStr">
        <is>
          <t>No Item Name Availa - N/A</t>
        </is>
      </c>
      <c r="K534" t="inlineStr">
        <is>
          <t>IS</t>
        </is>
      </c>
      <c r="L534" t="inlineStr"/>
      <c r="M534" t="inlineStr">
        <is>
          <t>N</t>
        </is>
      </c>
      <c r="N534" t="n">
        <v>58</v>
      </c>
      <c r="O534" t="n">
        <v>0</v>
      </c>
      <c r="P534" t="n">
        <v>58</v>
      </c>
    </row>
    <row r="535">
      <c r="B535" t="n">
        <v>531</v>
      </c>
      <c r="C535" t="inlineStr">
        <is>
          <t>44112</t>
        </is>
      </c>
      <c r="D535" t="inlineStr">
        <is>
          <t>44112</t>
        </is>
      </c>
      <c r="G535" t="inlineStr">
        <is>
          <t>M29113</t>
        </is>
      </c>
      <c r="H535" t="inlineStr">
        <is>
          <t>C7905</t>
        </is>
      </c>
      <c r="I535" t="inlineStr">
        <is>
          <t>C79052B</t>
        </is>
      </c>
      <c r="J535" t="inlineStr">
        <is>
          <t>SHOP EGUIPMENT,GP N - 1CSLO-2220701</t>
        </is>
      </c>
      <c r="K535" t="inlineStr">
        <is>
          <t>IS</t>
        </is>
      </c>
      <c r="L535" t="inlineStr">
        <is>
          <t>EA</t>
        </is>
      </c>
      <c r="M535" t="inlineStr">
        <is>
          <t>N</t>
        </is>
      </c>
      <c r="N535" t="n">
        <v>0</v>
      </c>
      <c r="O535" t="n">
        <v>1</v>
      </c>
      <c r="P535" t="n">
        <v>1</v>
      </c>
    </row>
    <row r="536">
      <c r="B536" t="n">
        <v>532</v>
      </c>
      <c r="C536" t="inlineStr">
        <is>
          <t>44112</t>
        </is>
      </c>
      <c r="D536" t="inlineStr">
        <is>
          <t>44112</t>
        </is>
      </c>
      <c r="G536" t="inlineStr">
        <is>
          <t>M29113</t>
        </is>
      </c>
      <c r="H536" t="inlineStr">
        <is>
          <t>C7915</t>
        </is>
      </c>
      <c r="I536" t="inlineStr">
        <is>
          <t>C79152B</t>
        </is>
      </c>
      <c r="J536" t="inlineStr">
        <is>
          <t>TOOL KIT,GENERAL ME - DFP-627</t>
        </is>
      </c>
      <c r="K536" t="inlineStr">
        <is>
          <t>IS</t>
        </is>
      </c>
      <c r="L536" t="inlineStr">
        <is>
          <t>SE</t>
        </is>
      </c>
      <c r="M536" t="inlineStr">
        <is>
          <t>N</t>
        </is>
      </c>
      <c r="N536" t="n">
        <v>0</v>
      </c>
      <c r="O536" t="n">
        <v>2</v>
      </c>
      <c r="P536" t="n">
        <v>2</v>
      </c>
    </row>
    <row r="537">
      <c r="B537" t="n">
        <v>533</v>
      </c>
      <c r="C537" t="inlineStr">
        <is>
          <t>21710</t>
        </is>
      </c>
      <c r="D537" t="inlineStr">
        <is>
          <t>21710</t>
        </is>
      </c>
      <c r="G537" t="inlineStr">
        <is>
          <t>M29113</t>
        </is>
      </c>
      <c r="H537" t="inlineStr">
        <is>
          <t>D0003</t>
        </is>
      </c>
      <c r="I537" t="inlineStr">
        <is>
          <t>D00037K</t>
        </is>
      </c>
      <c r="J537" t="inlineStr">
        <is>
          <t>TRUCK,ARMORED,CARGO - AMK23A1</t>
        </is>
      </c>
      <c r="K537" t="inlineStr">
        <is>
          <t>IS</t>
        </is>
      </c>
      <c r="L537" t="inlineStr">
        <is>
          <t>EA</t>
        </is>
      </c>
      <c r="M537" t="inlineStr">
        <is>
          <t>R</t>
        </is>
      </c>
      <c r="N537" t="n">
        <v>0</v>
      </c>
      <c r="O537" t="n">
        <v>4</v>
      </c>
      <c r="P537" t="n">
        <v>4</v>
      </c>
    </row>
    <row r="538">
      <c r="B538" t="n">
        <v>534</v>
      </c>
      <c r="C538" t="inlineStr">
        <is>
          <t>21710</t>
        </is>
      </c>
      <c r="D538" t="inlineStr">
        <is>
          <t>21710</t>
        </is>
      </c>
      <c r="G538" t="inlineStr">
        <is>
          <t>M29113</t>
        </is>
      </c>
      <c r="H538" t="inlineStr">
        <is>
          <t>D0005</t>
        </is>
      </c>
      <c r="I538" t="inlineStr">
        <is>
          <t>D00057K</t>
        </is>
      </c>
      <c r="J538" t="inlineStr">
        <is>
          <t>TRUCK,ARMORED,XLWB - AMK27A1</t>
        </is>
      </c>
      <c r="K538" t="inlineStr">
        <is>
          <t>IS</t>
        </is>
      </c>
      <c r="L538" t="inlineStr">
        <is>
          <t>EA</t>
        </is>
      </c>
      <c r="M538" t="inlineStr">
        <is>
          <t>R</t>
        </is>
      </c>
      <c r="N538" t="n">
        <v>0</v>
      </c>
      <c r="O538" t="n">
        <v>6</v>
      </c>
      <c r="P538" t="n">
        <v>6</v>
      </c>
    </row>
    <row r="539">
      <c r="B539" t="n">
        <v>535</v>
      </c>
      <c r="C539" t="inlineStr">
        <is>
          <t>21710</t>
        </is>
      </c>
      <c r="D539" t="inlineStr">
        <is>
          <t>21710</t>
        </is>
      </c>
      <c r="G539" t="inlineStr">
        <is>
          <t>M29113</t>
        </is>
      </c>
      <c r="H539" t="inlineStr">
        <is>
          <t>D0015</t>
        </is>
      </c>
      <c r="I539" t="inlineStr">
        <is>
          <t>D00157K</t>
        </is>
      </c>
      <c r="J539" t="inlineStr">
        <is>
          <t>TRUCK,WRECKER,ARMOR - AMK36</t>
        </is>
      </c>
      <c r="K539" t="inlineStr">
        <is>
          <t>IS</t>
        </is>
      </c>
      <c r="L539" t="inlineStr">
        <is>
          <t>EA</t>
        </is>
      </c>
      <c r="M539" t="inlineStr">
        <is>
          <t>M</t>
        </is>
      </c>
      <c r="N539" t="n">
        <v>0</v>
      </c>
      <c r="O539" t="n">
        <v>1</v>
      </c>
      <c r="P539" t="n">
        <v>1</v>
      </c>
    </row>
    <row r="540">
      <c r="B540" t="n">
        <v>536</v>
      </c>
      <c r="C540" t="inlineStr">
        <is>
          <t>21710</t>
        </is>
      </c>
      <c r="D540" t="inlineStr">
        <is>
          <t>21710</t>
        </is>
      </c>
      <c r="G540" t="inlineStr">
        <is>
          <t>M29113</t>
        </is>
      </c>
      <c r="H540" t="inlineStr">
        <is>
          <t>D0045</t>
        </is>
      </c>
      <c r="I540" t="inlineStr">
        <is>
          <t>D00457K</t>
        </is>
      </c>
      <c r="J540" t="inlineStr">
        <is>
          <t>TRUCK,UTILITY - M1280A1</t>
        </is>
      </c>
      <c r="K540" t="inlineStr">
        <is>
          <t>IS</t>
        </is>
      </c>
      <c r="L540" t="inlineStr">
        <is>
          <t>EA</t>
        </is>
      </c>
      <c r="M540" t="inlineStr">
        <is>
          <t>R</t>
        </is>
      </c>
      <c r="N540" t="n">
        <v>0</v>
      </c>
      <c r="O540" t="n">
        <v>2</v>
      </c>
      <c r="P540" t="n">
        <v>2</v>
      </c>
    </row>
    <row r="541">
      <c r="B541" t="n">
        <v>537</v>
      </c>
      <c r="C541" t="inlineStr">
        <is>
          <t>21710</t>
        </is>
      </c>
      <c r="D541" t="inlineStr">
        <is>
          <t>21710</t>
        </is>
      </c>
      <c r="G541" t="inlineStr">
        <is>
          <t>M29113</t>
        </is>
      </c>
      <c r="H541" t="inlineStr">
        <is>
          <t>D0046</t>
        </is>
      </c>
      <c r="I541" t="inlineStr">
        <is>
          <t>D00467K</t>
        </is>
      </c>
      <c r="J541" t="inlineStr">
        <is>
          <t>TRUCK,UTILITY - M1278A1</t>
        </is>
      </c>
      <c r="K541" t="inlineStr">
        <is>
          <t>IS</t>
        </is>
      </c>
      <c r="L541" t="inlineStr">
        <is>
          <t>EA</t>
        </is>
      </c>
      <c r="M541" t="inlineStr">
        <is>
          <t>R</t>
        </is>
      </c>
      <c r="N541" t="n">
        <v>0</v>
      </c>
      <c r="O541" t="n">
        <v>2</v>
      </c>
      <c r="P541" t="n">
        <v>2</v>
      </c>
    </row>
    <row r="542">
      <c r="B542" t="n">
        <v>538</v>
      </c>
      <c r="C542" t="inlineStr">
        <is>
          <t>21710</t>
        </is>
      </c>
      <c r="D542" t="inlineStr">
        <is>
          <t>21710</t>
        </is>
      </c>
      <c r="G542" t="inlineStr">
        <is>
          <t>M29113</t>
        </is>
      </c>
      <c r="H542" t="inlineStr">
        <is>
          <t>D0048</t>
        </is>
      </c>
      <c r="I542" t="inlineStr">
        <is>
          <t>D00487K</t>
        </is>
      </c>
      <c r="J542" t="inlineStr">
        <is>
          <t>TRUCK,UTILITY - M1279A1</t>
        </is>
      </c>
      <c r="K542" t="inlineStr">
        <is>
          <t>IS</t>
        </is>
      </c>
      <c r="L542" t="inlineStr">
        <is>
          <t>EA</t>
        </is>
      </c>
      <c r="M542" t="inlineStr">
        <is>
          <t>R</t>
        </is>
      </c>
      <c r="N542" t="n">
        <v>0</v>
      </c>
      <c r="O542" t="n">
        <v>2</v>
      </c>
      <c r="P542" t="n">
        <v>2</v>
      </c>
    </row>
    <row r="543">
      <c r="B543" t="n">
        <v>539</v>
      </c>
      <c r="C543" t="inlineStr">
        <is>
          <t>21710</t>
        </is>
      </c>
      <c r="D543" t="inlineStr">
        <is>
          <t>21710</t>
        </is>
      </c>
      <c r="G543" t="inlineStr">
        <is>
          <t>M29113</t>
        </is>
      </c>
      <c r="H543" t="inlineStr">
        <is>
          <t>D0058</t>
        </is>
      </c>
      <c r="I543" t="inlineStr">
        <is>
          <t>D00587K</t>
        </is>
      </c>
      <c r="J543" t="inlineStr">
        <is>
          <t>TRAILER,CARGO</t>
        </is>
      </c>
      <c r="K543" t="inlineStr">
        <is>
          <t>IS</t>
        </is>
      </c>
      <c r="L543" t="inlineStr">
        <is>
          <t>EA</t>
        </is>
      </c>
      <c r="M543" t="inlineStr">
        <is>
          <t>N</t>
        </is>
      </c>
      <c r="N543" t="n">
        <v>0</v>
      </c>
      <c r="O543" t="n">
        <v>1</v>
      </c>
      <c r="P543" t="n">
        <v>1</v>
      </c>
    </row>
    <row r="544">
      <c r="B544" t="n">
        <v>540</v>
      </c>
      <c r="C544" t="inlineStr">
        <is>
          <t>21710</t>
        </is>
      </c>
      <c r="D544" t="inlineStr">
        <is>
          <t>21710</t>
        </is>
      </c>
      <c r="G544" t="inlineStr">
        <is>
          <t>M29113</t>
        </is>
      </c>
      <c r="H544" t="inlineStr">
        <is>
          <t>D0862</t>
        </is>
      </c>
      <c r="I544" t="inlineStr">
        <is>
          <t>D08627K</t>
        </is>
      </c>
      <c r="J544" t="inlineStr">
        <is>
          <t>TRAILER,CARGO - MK593</t>
        </is>
      </c>
      <c r="K544" t="inlineStr">
        <is>
          <t>IS</t>
        </is>
      </c>
      <c r="L544" t="inlineStr">
        <is>
          <t>EA</t>
        </is>
      </c>
      <c r="M544" t="inlineStr">
        <is>
          <t>N</t>
        </is>
      </c>
      <c r="N544" t="n">
        <v>0</v>
      </c>
      <c r="O544" t="n">
        <v>5</v>
      </c>
      <c r="P544" t="n">
        <v>5</v>
      </c>
    </row>
    <row r="545">
      <c r="B545" t="n">
        <v>541</v>
      </c>
      <c r="C545" t="inlineStr">
        <is>
          <t>21710</t>
        </is>
      </c>
      <c r="D545" t="inlineStr">
        <is>
          <t>21710</t>
        </is>
      </c>
      <c r="G545" t="inlineStr">
        <is>
          <t>M29113</t>
        </is>
      </c>
      <c r="H545" t="inlineStr">
        <is>
          <t>D0880</t>
        </is>
      </c>
      <c r="I545" t="inlineStr">
        <is>
          <t>D08807K</t>
        </is>
      </c>
      <c r="J545" t="inlineStr">
        <is>
          <t>TRAILER,TANK - M149A2</t>
        </is>
      </c>
      <c r="K545" t="inlineStr">
        <is>
          <t>IS</t>
        </is>
      </c>
      <c r="L545" t="inlineStr">
        <is>
          <t>EA</t>
        </is>
      </c>
      <c r="M545" t="inlineStr">
        <is>
          <t>R</t>
        </is>
      </c>
      <c r="N545" t="n">
        <v>0</v>
      </c>
      <c r="O545" t="n">
        <v>1</v>
      </c>
      <c r="P545" t="n">
        <v>1</v>
      </c>
    </row>
    <row r="546">
      <c r="B546" t="n">
        <v>542</v>
      </c>
      <c r="C546" t="inlineStr">
        <is>
          <t>14345</t>
        </is>
      </c>
      <c r="D546" t="inlineStr">
        <is>
          <t>14345</t>
        </is>
      </c>
      <c r="G546" t="inlineStr">
        <is>
          <t>M29113</t>
        </is>
      </c>
      <c r="H546" t="inlineStr">
        <is>
          <t>E0013</t>
        </is>
      </c>
      <c r="I546" t="inlineStr">
        <is>
          <t>E00132B</t>
        </is>
      </c>
      <c r="J546" t="inlineStr">
        <is>
          <t>TELESCOPE,ARTICULAT - M8541</t>
        </is>
      </c>
      <c r="K546" t="inlineStr">
        <is>
          <t>IS</t>
        </is>
      </c>
      <c r="L546" t="inlineStr">
        <is>
          <t>EA</t>
        </is>
      </c>
      <c r="M546" t="inlineStr">
        <is>
          <t>R</t>
        </is>
      </c>
      <c r="N546" t="n">
        <v>0</v>
      </c>
      <c r="O546" t="n">
        <v>0</v>
      </c>
      <c r="P546" t="n">
        <v>0</v>
      </c>
    </row>
    <row r="547">
      <c r="B547" t="n">
        <v>543</v>
      </c>
      <c r="C547" t="inlineStr">
        <is>
          <t>14345</t>
        </is>
      </c>
      <c r="D547" t="inlineStr">
        <is>
          <t>14345</t>
        </is>
      </c>
      <c r="G547" t="inlineStr">
        <is>
          <t>M29113</t>
        </is>
      </c>
      <c r="H547" t="inlineStr">
        <is>
          <t>E0017</t>
        </is>
      </c>
      <c r="I547" t="inlineStr">
        <is>
          <t>E00172B</t>
        </is>
      </c>
      <c r="J547" t="inlineStr">
        <is>
          <t>SIGHT,BORE,OPTICAL - M7</t>
        </is>
      </c>
      <c r="K547" t="inlineStr">
        <is>
          <t>IS</t>
        </is>
      </c>
      <c r="L547" t="inlineStr">
        <is>
          <t>EA</t>
        </is>
      </c>
      <c r="M547" t="inlineStr">
        <is>
          <t>N</t>
        </is>
      </c>
      <c r="N547" t="n">
        <v>21</v>
      </c>
      <c r="O547" t="n">
        <v>0</v>
      </c>
      <c r="P547" t="n">
        <v>21</v>
      </c>
    </row>
    <row r="548">
      <c r="B548" t="n">
        <v>544</v>
      </c>
      <c r="C548" t="inlineStr">
        <is>
          <t>14345</t>
        </is>
      </c>
      <c r="D548" t="inlineStr">
        <is>
          <t>14345</t>
        </is>
      </c>
      <c r="G548" t="inlineStr">
        <is>
          <t>M29113</t>
        </is>
      </c>
      <c r="H548" t="inlineStr">
        <is>
          <t>E0030</t>
        </is>
      </c>
      <c r="I548" t="inlineStr">
        <is>
          <t>E00302M</t>
        </is>
      </c>
      <c r="J548" t="inlineStr">
        <is>
          <t>PISTOL,9 MILLIMETER - M18</t>
        </is>
      </c>
      <c r="K548" t="inlineStr">
        <is>
          <t>IS</t>
        </is>
      </c>
      <c r="L548" t="inlineStr">
        <is>
          <t>EA</t>
        </is>
      </c>
      <c r="M548" t="inlineStr">
        <is>
          <t>N</t>
        </is>
      </c>
      <c r="N548" t="n">
        <v>0</v>
      </c>
      <c r="O548" t="n">
        <v>0</v>
      </c>
      <c r="P548" t="n">
        <v>0</v>
      </c>
    </row>
    <row r="549">
      <c r="B549" t="n">
        <v>545</v>
      </c>
      <c r="C549" t="inlineStr">
        <is>
          <t>14345</t>
        </is>
      </c>
      <c r="D549" t="inlineStr">
        <is>
          <t>14345</t>
        </is>
      </c>
      <c r="G549" t="inlineStr">
        <is>
          <t>M29113</t>
        </is>
      </c>
      <c r="H549" t="inlineStr">
        <is>
          <t>E0041</t>
        </is>
      </c>
      <c r="I549" t="inlineStr">
        <is>
          <t>E00412B</t>
        </is>
      </c>
      <c r="J549" t="inlineStr">
        <is>
          <t>SIGHT,REFLEX - M571</t>
        </is>
      </c>
      <c r="K549" t="inlineStr">
        <is>
          <t>IS</t>
        </is>
      </c>
      <c r="L549" t="inlineStr">
        <is>
          <t>EA</t>
        </is>
      </c>
      <c r="M549" t="inlineStr">
        <is>
          <t>N</t>
        </is>
      </c>
      <c r="N549" t="n">
        <v>0</v>
      </c>
      <c r="O549" t="n">
        <v>0</v>
      </c>
      <c r="P549" t="n">
        <v>0</v>
      </c>
    </row>
    <row r="550">
      <c r="B550" t="n">
        <v>546</v>
      </c>
      <c r="C550" t="inlineStr">
        <is>
          <t>14326</t>
        </is>
      </c>
      <c r="D550" t="inlineStr">
        <is>
          <t>14326</t>
        </is>
      </c>
      <c r="G550" t="inlineStr">
        <is>
          <t>M29113</t>
        </is>
      </c>
      <c r="H550" t="inlineStr">
        <is>
          <t>E0050</t>
        </is>
      </c>
      <c r="I550" t="inlineStr">
        <is>
          <t>E00502E</t>
        </is>
      </c>
      <c r="J550" t="inlineStr">
        <is>
          <t>BAYONET-KNIFE - OKC3S</t>
        </is>
      </c>
      <c r="K550" t="inlineStr">
        <is>
          <t>IS</t>
        </is>
      </c>
      <c r="L550" t="inlineStr">
        <is>
          <t>EA</t>
        </is>
      </c>
      <c r="M550" t="inlineStr">
        <is>
          <t>N</t>
        </is>
      </c>
      <c r="N550" t="n">
        <v>58</v>
      </c>
      <c r="O550" t="n">
        <v>0</v>
      </c>
      <c r="P550" t="n">
        <v>58</v>
      </c>
    </row>
    <row r="551">
      <c r="B551" t="n">
        <v>547</v>
      </c>
      <c r="C551" t="inlineStr">
        <is>
          <t>14345</t>
        </is>
      </c>
      <c r="D551" t="inlineStr">
        <is>
          <t>14345</t>
        </is>
      </c>
      <c r="G551" t="inlineStr">
        <is>
          <t>M29113</t>
        </is>
      </c>
      <c r="H551" t="inlineStr">
        <is>
          <t>E0081</t>
        </is>
      </c>
      <c r="I551" t="inlineStr">
        <is>
          <t>E00817B</t>
        </is>
      </c>
      <c r="J551" t="inlineStr">
        <is>
          <t>MOUNT,MACHINE GUN - M35</t>
        </is>
      </c>
      <c r="K551" t="inlineStr">
        <is>
          <t>IS</t>
        </is>
      </c>
      <c r="L551" t="inlineStr">
        <is>
          <t>EA</t>
        </is>
      </c>
      <c r="M551" t="inlineStr">
        <is>
          <t>N</t>
        </is>
      </c>
      <c r="N551" t="n">
        <v>5</v>
      </c>
      <c r="O551" t="n">
        <v>0</v>
      </c>
      <c r="P551" t="n">
        <v>5</v>
      </c>
    </row>
    <row r="552">
      <c r="B552" t="n">
        <v>548</v>
      </c>
      <c r="C552" t="inlineStr">
        <is>
          <t>14345</t>
        </is>
      </c>
      <c r="D552" t="inlineStr">
        <is>
          <t>14345</t>
        </is>
      </c>
      <c r="G552" t="inlineStr">
        <is>
          <t>M29113</t>
        </is>
      </c>
      <c r="H552" t="inlineStr">
        <is>
          <t>E0082</t>
        </is>
      </c>
      <c r="I552" t="inlineStr">
        <is>
          <t>E00822B</t>
        </is>
      </c>
      <c r="J552" t="inlineStr">
        <is>
          <t>SIGHT UNIT - TA11SDO</t>
        </is>
      </c>
      <c r="K552" t="inlineStr">
        <is>
          <t>IS</t>
        </is>
      </c>
      <c r="L552" t="inlineStr">
        <is>
          <t>EA</t>
        </is>
      </c>
      <c r="M552" t="inlineStr">
        <is>
          <t>N</t>
        </is>
      </c>
      <c r="N552" t="n">
        <v>0</v>
      </c>
      <c r="O552" t="n">
        <v>0</v>
      </c>
      <c r="P552" t="n">
        <v>0</v>
      </c>
    </row>
    <row r="553">
      <c r="B553" t="n">
        <v>549</v>
      </c>
      <c r="C553" t="inlineStr">
        <is>
          <t>14345</t>
        </is>
      </c>
      <c r="D553" t="inlineStr">
        <is>
          <t>14345</t>
        </is>
      </c>
      <c r="G553" t="inlineStr">
        <is>
          <t>M29113</t>
        </is>
      </c>
      <c r="H553" t="inlineStr">
        <is>
          <t>E0088</t>
        </is>
      </c>
      <c r="I553" t="inlineStr">
        <is>
          <t>E00887B</t>
        </is>
      </c>
      <c r="J553" t="inlineStr">
        <is>
          <t>SIGHT UNIT - TA648MDO</t>
        </is>
      </c>
      <c r="K553" t="inlineStr">
        <is>
          <t>IS</t>
        </is>
      </c>
      <c r="L553" t="inlineStr">
        <is>
          <t>EA</t>
        </is>
      </c>
      <c r="M553" t="inlineStr">
        <is>
          <t>N</t>
        </is>
      </c>
      <c r="N553" t="n">
        <v>5</v>
      </c>
      <c r="O553" t="n">
        <v>0</v>
      </c>
      <c r="P553" t="n">
        <v>5</v>
      </c>
    </row>
    <row r="554">
      <c r="B554" t="n">
        <v>550</v>
      </c>
      <c r="C554" t="inlineStr">
        <is>
          <t>14345</t>
        </is>
      </c>
      <c r="D554" t="inlineStr">
        <is>
          <t>14345</t>
        </is>
      </c>
      <c r="G554" t="inlineStr">
        <is>
          <t>M29113</t>
        </is>
      </c>
      <c r="H554" t="inlineStr">
        <is>
          <t>E0099</t>
        </is>
      </c>
      <c r="I554" t="inlineStr">
        <is>
          <t>E00992B</t>
        </is>
      </c>
      <c r="J554" t="inlineStr">
        <is>
          <t>SIGHT,REFLEX - 552.65A</t>
        </is>
      </c>
      <c r="K554" t="inlineStr">
        <is>
          <t>IS</t>
        </is>
      </c>
      <c r="L554" t="inlineStr">
        <is>
          <t>EA</t>
        </is>
      </c>
      <c r="M554" t="inlineStr">
        <is>
          <t>N</t>
        </is>
      </c>
      <c r="N554" t="n">
        <v>0</v>
      </c>
      <c r="O554" t="n">
        <v>0</v>
      </c>
      <c r="P554" t="n">
        <v>0</v>
      </c>
    </row>
    <row r="555">
      <c r="B555" t="n">
        <v>551</v>
      </c>
      <c r="C555" t="inlineStr">
        <is>
          <t>14345</t>
        </is>
      </c>
      <c r="D555" t="inlineStr">
        <is>
          <t>14345</t>
        </is>
      </c>
      <c r="G555" t="inlineStr">
        <is>
          <t>M29113</t>
        </is>
      </c>
      <c r="H555" t="inlineStr">
        <is>
          <t>E0100</t>
        </is>
      </c>
      <c r="I555" t="inlineStr">
        <is>
          <t>E01002M</t>
        </is>
      </c>
      <c r="J555" t="inlineStr">
        <is>
          <t>RIFLE,5.56 MILLIMET - M27 IAR</t>
        </is>
      </c>
      <c r="K555" t="inlineStr">
        <is>
          <t>IS</t>
        </is>
      </c>
      <c r="L555" t="inlineStr">
        <is>
          <t>EA</t>
        </is>
      </c>
      <c r="M555" t="inlineStr">
        <is>
          <t>N</t>
        </is>
      </c>
      <c r="N555" t="n">
        <v>0</v>
      </c>
      <c r="O555" t="n">
        <v>0</v>
      </c>
      <c r="P555" t="n">
        <v>0</v>
      </c>
    </row>
    <row r="556">
      <c r="B556" t="n">
        <v>552</v>
      </c>
      <c r="C556" t="inlineStr">
        <is>
          <t>14345</t>
        </is>
      </c>
      <c r="D556" t="inlineStr">
        <is>
          <t>14345</t>
        </is>
      </c>
      <c r="G556" t="inlineStr">
        <is>
          <t>M29113</t>
        </is>
      </c>
      <c r="H556" t="inlineStr">
        <is>
          <t>E0113</t>
        </is>
      </c>
      <c r="I556" t="inlineStr">
        <is>
          <t>E01132M</t>
        </is>
      </c>
      <c r="J556" t="inlineStr">
        <is>
          <t>SILENCER,GUN - SOCOM762-RC-DE</t>
        </is>
      </c>
      <c r="K556" t="inlineStr">
        <is>
          <t>DP</t>
        </is>
      </c>
      <c r="L556" t="inlineStr">
        <is>
          <t>EA</t>
        </is>
      </c>
      <c r="M556" t="inlineStr">
        <is>
          <t>N</t>
        </is>
      </c>
      <c r="N556" t="n">
        <v>0</v>
      </c>
      <c r="O556" t="n">
        <v>0</v>
      </c>
      <c r="P556" t="n">
        <v>0</v>
      </c>
    </row>
    <row r="557">
      <c r="B557" t="n">
        <v>553</v>
      </c>
      <c r="C557" t="inlineStr">
        <is>
          <t>14345</t>
        </is>
      </c>
      <c r="D557" t="inlineStr">
        <is>
          <t>14345</t>
        </is>
      </c>
      <c r="G557" t="inlineStr">
        <is>
          <t>M29113</t>
        </is>
      </c>
      <c r="H557" t="inlineStr">
        <is>
          <t>E0114</t>
        </is>
      </c>
      <c r="I557" t="inlineStr">
        <is>
          <t>E01142B</t>
        </is>
      </c>
      <c r="J557" t="inlineStr">
        <is>
          <t>SIGHT,BORE,OPTICAL - M83</t>
        </is>
      </c>
      <c r="K557" t="inlineStr">
        <is>
          <t>IS</t>
        </is>
      </c>
      <c r="L557" t="inlineStr">
        <is>
          <t>EA</t>
        </is>
      </c>
      <c r="M557" t="inlineStr">
        <is>
          <t>N</t>
        </is>
      </c>
      <c r="N557" t="n">
        <v>0</v>
      </c>
      <c r="O557" t="n">
        <v>0</v>
      </c>
      <c r="P557" t="n">
        <v>0</v>
      </c>
    </row>
    <row r="558">
      <c r="B558" t="n">
        <v>554</v>
      </c>
      <c r="C558" t="inlineStr">
        <is>
          <t>14345</t>
        </is>
      </c>
      <c r="D558" t="inlineStr">
        <is>
          <t>14345</t>
        </is>
      </c>
      <c r="G558" t="inlineStr">
        <is>
          <t>M29113</t>
        </is>
      </c>
      <c r="H558" t="inlineStr">
        <is>
          <t>E0123</t>
        </is>
      </c>
      <c r="I558" t="inlineStr">
        <is>
          <t>E01237M</t>
        </is>
      </c>
      <c r="J558" t="inlineStr">
        <is>
          <t>MACHINE GUN,CALIBER - M2A1</t>
        </is>
      </c>
      <c r="K558" t="inlineStr">
        <is>
          <t>IS</t>
        </is>
      </c>
      <c r="L558" t="inlineStr">
        <is>
          <t>EA</t>
        </is>
      </c>
      <c r="M558" t="inlineStr">
        <is>
          <t>M</t>
        </is>
      </c>
      <c r="N558" t="n">
        <v>0</v>
      </c>
      <c r="O558" t="n">
        <v>0</v>
      </c>
      <c r="P558" t="n">
        <v>0</v>
      </c>
    </row>
    <row r="559">
      <c r="B559" t="n">
        <v>555</v>
      </c>
      <c r="C559" t="inlineStr">
        <is>
          <t>14345</t>
        </is>
      </c>
      <c r="D559" t="inlineStr">
        <is>
          <t>14345</t>
        </is>
      </c>
      <c r="G559" t="inlineStr">
        <is>
          <t>M29113</t>
        </is>
      </c>
      <c r="H559" t="inlineStr">
        <is>
          <t>E0127</t>
        </is>
      </c>
      <c r="I559" t="inlineStr">
        <is>
          <t>E01272M</t>
        </is>
      </c>
      <c r="J559" t="inlineStr">
        <is>
          <t>SUPPRESSOR,SMALL AR - 96062-2</t>
        </is>
      </c>
      <c r="K559" t="inlineStr">
        <is>
          <t>IS</t>
        </is>
      </c>
      <c r="L559" t="inlineStr">
        <is>
          <t>EA</t>
        </is>
      </c>
      <c r="M559" t="inlineStr">
        <is>
          <t>N</t>
        </is>
      </c>
      <c r="N559" t="n">
        <v>0</v>
      </c>
      <c r="O559" t="n">
        <v>0</v>
      </c>
      <c r="P559" t="n">
        <v>0</v>
      </c>
    </row>
    <row r="560">
      <c r="B560" t="n">
        <v>556</v>
      </c>
      <c r="C560" t="inlineStr">
        <is>
          <t>14345</t>
        </is>
      </c>
      <c r="D560" t="inlineStr">
        <is>
          <t>14345</t>
        </is>
      </c>
      <c r="G560" t="inlineStr">
        <is>
          <t>M29113</t>
        </is>
      </c>
      <c r="H560" t="inlineStr">
        <is>
          <t>E0173</t>
        </is>
      </c>
      <c r="I560" t="inlineStr">
        <is>
          <t>E01732G</t>
        </is>
      </c>
      <c r="J560" t="inlineStr">
        <is>
          <t>ILLUMINATOR,INTEGRA</t>
        </is>
      </c>
      <c r="K560" t="inlineStr">
        <is>
          <t>IS</t>
        </is>
      </c>
      <c r="L560" t="inlineStr">
        <is>
          <t>EA</t>
        </is>
      </c>
      <c r="M560" t="inlineStr">
        <is>
          <t>N</t>
        </is>
      </c>
      <c r="N560" t="n">
        <v>0</v>
      </c>
      <c r="O560" t="n">
        <v>0</v>
      </c>
      <c r="P560" t="n">
        <v>0</v>
      </c>
    </row>
    <row r="561">
      <c r="B561" t="n">
        <v>557</v>
      </c>
      <c r="C561" t="inlineStr">
        <is>
          <t>14345</t>
        </is>
      </c>
      <c r="D561" t="inlineStr">
        <is>
          <t>14345</t>
        </is>
      </c>
      <c r="G561" t="inlineStr">
        <is>
          <t>M29113</t>
        </is>
      </c>
      <c r="H561" t="inlineStr">
        <is>
          <t>E0187</t>
        </is>
      </c>
      <c r="I561" t="inlineStr">
        <is>
          <t>E01877B</t>
        </is>
      </c>
      <c r="J561" t="inlineStr">
        <is>
          <t>SIGHT,NIGHT VISION - 1019765-101</t>
        </is>
      </c>
      <c r="K561" t="inlineStr">
        <is>
          <t>IS</t>
        </is>
      </c>
      <c r="L561" t="inlineStr">
        <is>
          <t>KT</t>
        </is>
      </c>
      <c r="M561" t="inlineStr">
        <is>
          <t>R</t>
        </is>
      </c>
      <c r="N561" t="n">
        <v>0</v>
      </c>
      <c r="O561" t="n">
        <v>0</v>
      </c>
      <c r="P561" t="n">
        <v>0</v>
      </c>
    </row>
    <row r="562">
      <c r="B562" t="n">
        <v>558</v>
      </c>
      <c r="C562" t="inlineStr">
        <is>
          <t>14345</t>
        </is>
      </c>
      <c r="D562" t="inlineStr">
        <is>
          <t>14345</t>
        </is>
      </c>
      <c r="G562" t="inlineStr">
        <is>
          <t>M29113</t>
        </is>
      </c>
      <c r="H562" t="inlineStr">
        <is>
          <t>E0190</t>
        </is>
      </c>
      <c r="I562" t="inlineStr">
        <is>
          <t>E01902M</t>
        </is>
      </c>
      <c r="J562" t="inlineStr">
        <is>
          <t>CARBINE,5.56 MILLIM - M4A1</t>
        </is>
      </c>
      <c r="K562" t="inlineStr">
        <is>
          <t>IS</t>
        </is>
      </c>
      <c r="L562" t="inlineStr">
        <is>
          <t>EA</t>
        </is>
      </c>
      <c r="M562" t="inlineStr">
        <is>
          <t>N</t>
        </is>
      </c>
      <c r="N562" t="n">
        <v>0</v>
      </c>
      <c r="O562" t="n">
        <v>0</v>
      </c>
      <c r="P562" t="n">
        <v>0</v>
      </c>
    </row>
    <row r="563">
      <c r="B563" t="n">
        <v>559</v>
      </c>
      <c r="C563" t="inlineStr">
        <is>
          <t>14345</t>
        </is>
      </c>
      <c r="D563" t="inlineStr">
        <is>
          <t>14345</t>
        </is>
      </c>
      <c r="G563" t="inlineStr">
        <is>
          <t>M29113</t>
        </is>
      </c>
      <c r="H563" t="inlineStr">
        <is>
          <t>E0195</t>
        </is>
      </c>
      <c r="I563" t="inlineStr">
        <is>
          <t>E01952M</t>
        </is>
      </c>
      <c r="J563" t="inlineStr">
        <is>
          <t>CARBINE,5.56 MILLIM - M4</t>
        </is>
      </c>
      <c r="K563" t="inlineStr">
        <is>
          <t>IS</t>
        </is>
      </c>
      <c r="L563" t="inlineStr">
        <is>
          <t>EA</t>
        </is>
      </c>
      <c r="M563" t="inlineStr">
        <is>
          <t>N</t>
        </is>
      </c>
      <c r="N563" t="n">
        <v>21</v>
      </c>
      <c r="O563" t="n">
        <v>0</v>
      </c>
      <c r="P563" t="n">
        <v>21</v>
      </c>
    </row>
    <row r="564">
      <c r="B564" t="n">
        <v>560</v>
      </c>
      <c r="C564" t="inlineStr">
        <is>
          <t>14345</t>
        </is>
      </c>
      <c r="D564" t="inlineStr">
        <is>
          <t>14345</t>
        </is>
      </c>
      <c r="G564" t="inlineStr">
        <is>
          <t>M29113</t>
        </is>
      </c>
      <c r="H564" t="inlineStr">
        <is>
          <t>E0201</t>
        </is>
      </c>
      <c r="I564" t="inlineStr">
        <is>
          <t>E02012M</t>
        </is>
      </c>
      <c r="J564" t="inlineStr">
        <is>
          <t>SUPPRESSOR,SMALL AR</t>
        </is>
      </c>
      <c r="K564" t="inlineStr">
        <is>
          <t>IS</t>
        </is>
      </c>
      <c r="L564" t="inlineStr">
        <is>
          <t>EA</t>
        </is>
      </c>
      <c r="M564" t="inlineStr">
        <is>
          <t>N</t>
        </is>
      </c>
      <c r="N564" t="n">
        <v>0</v>
      </c>
      <c r="O564" t="n">
        <v>0</v>
      </c>
      <c r="P564" t="n">
        <v>0</v>
      </c>
    </row>
    <row r="565">
      <c r="B565" t="n">
        <v>561</v>
      </c>
      <c r="C565" t="inlineStr">
        <is>
          <t>14345</t>
        </is>
      </c>
      <c r="D565" t="inlineStr">
        <is>
          <t>14345</t>
        </is>
      </c>
      <c r="G565" t="inlineStr">
        <is>
          <t>M29113</t>
        </is>
      </c>
      <c r="H565" t="inlineStr">
        <is>
          <t>E0202</t>
        </is>
      </c>
      <c r="I565" t="inlineStr">
        <is>
          <t>E02022B</t>
        </is>
      </c>
      <c r="J565" t="inlineStr">
        <is>
          <t>TELESCOPE,STRAIGHT - M317</t>
        </is>
      </c>
      <c r="K565" t="inlineStr">
        <is>
          <t>IS</t>
        </is>
      </c>
      <c r="L565" t="inlineStr">
        <is>
          <t>EA</t>
        </is>
      </c>
      <c r="M565" t="inlineStr">
        <is>
          <t>R</t>
        </is>
      </c>
      <c r="N565" t="n">
        <v>0</v>
      </c>
      <c r="O565" t="n">
        <v>0</v>
      </c>
      <c r="P565" t="n">
        <v>0</v>
      </c>
    </row>
    <row r="566">
      <c r="B566" t="n">
        <v>562</v>
      </c>
      <c r="C566" t="inlineStr">
        <is>
          <t>14345</t>
        </is>
      </c>
      <c r="D566" t="inlineStr">
        <is>
          <t>14345</t>
        </is>
      </c>
      <c r="G566" t="inlineStr">
        <is>
          <t>M29113</t>
        </is>
      </c>
      <c r="H566" t="inlineStr">
        <is>
          <t>E0212</t>
        </is>
      </c>
      <c r="I566" t="inlineStr">
        <is>
          <t>E02122B</t>
        </is>
      </c>
      <c r="J566" t="inlineStr">
        <is>
          <t>TELESCOPE,STRAIGHT - M311</t>
        </is>
      </c>
      <c r="K566" t="inlineStr">
        <is>
          <t>PL</t>
        </is>
      </c>
      <c r="L566" t="inlineStr">
        <is>
          <t>EA</t>
        </is>
      </c>
      <c r="M566" t="inlineStr">
        <is>
          <t>N</t>
        </is>
      </c>
      <c r="N566" t="n">
        <v>0</v>
      </c>
      <c r="O566" t="n">
        <v>0</v>
      </c>
      <c r="P566" t="n">
        <v>0</v>
      </c>
    </row>
    <row r="567">
      <c r="B567" t="n">
        <v>563</v>
      </c>
      <c r="C567" t="inlineStr">
        <is>
          <t>14345</t>
        </is>
      </c>
      <c r="D567" t="inlineStr">
        <is>
          <t>14345</t>
        </is>
      </c>
      <c r="G567" t="inlineStr">
        <is>
          <t>M29113</t>
        </is>
      </c>
      <c r="H567" t="inlineStr">
        <is>
          <t>E0892</t>
        </is>
      </c>
      <c r="I567" t="inlineStr">
        <is>
          <t>E08922M</t>
        </is>
      </c>
      <c r="J567" t="inlineStr">
        <is>
          <t>LAUNCHER,GRENADE - M320A1</t>
        </is>
      </c>
      <c r="K567" t="inlineStr">
        <is>
          <t>IS</t>
        </is>
      </c>
      <c r="L567" t="inlineStr">
        <is>
          <t>EA</t>
        </is>
      </c>
      <c r="M567" t="inlineStr">
        <is>
          <t>N</t>
        </is>
      </c>
      <c r="N567" t="n">
        <v>0</v>
      </c>
      <c r="O567" t="n">
        <v>2</v>
      </c>
      <c r="P567" t="n">
        <v>2</v>
      </c>
    </row>
    <row r="568">
      <c r="B568" t="n">
        <v>564</v>
      </c>
      <c r="C568" t="inlineStr">
        <is>
          <t>14345</t>
        </is>
      </c>
      <c r="D568" t="inlineStr">
        <is>
          <t>14345</t>
        </is>
      </c>
      <c r="G568" t="inlineStr">
        <is>
          <t>M29113</t>
        </is>
      </c>
      <c r="H568" t="inlineStr">
        <is>
          <t>E0989</t>
        </is>
      </c>
      <c r="I568" t="inlineStr">
        <is>
          <t>E09897M</t>
        </is>
      </c>
      <c r="J568" t="inlineStr">
        <is>
          <t>MACHINE GUN,7.62 MI - M240B</t>
        </is>
      </c>
      <c r="K568" t="inlineStr">
        <is>
          <t>IS</t>
        </is>
      </c>
      <c r="L568" t="inlineStr">
        <is>
          <t>EA</t>
        </is>
      </c>
      <c r="M568" t="inlineStr">
        <is>
          <t>M</t>
        </is>
      </c>
      <c r="N568" t="n">
        <v>0</v>
      </c>
      <c r="O568" t="n">
        <v>5</v>
      </c>
      <c r="P568" t="n">
        <v>5</v>
      </c>
    </row>
    <row r="569">
      <c r="B569" t="n">
        <v>565</v>
      </c>
      <c r="C569" t="inlineStr">
        <is>
          <t>14345</t>
        </is>
      </c>
      <c r="D569" t="inlineStr">
        <is>
          <t>14345</t>
        </is>
      </c>
      <c r="G569" t="inlineStr">
        <is>
          <t>M29113</t>
        </is>
      </c>
      <c r="H569" t="inlineStr">
        <is>
          <t>E0994</t>
        </is>
      </c>
      <c r="I569" t="inlineStr">
        <is>
          <t>E09947M</t>
        </is>
      </c>
      <c r="J569" t="inlineStr">
        <is>
          <t>MACHINE GUN,GRENADE - MK19 MOD 3</t>
        </is>
      </c>
      <c r="K569" t="inlineStr">
        <is>
          <t>IS</t>
        </is>
      </c>
      <c r="L569" t="inlineStr">
        <is>
          <t>EA</t>
        </is>
      </c>
      <c r="M569" t="inlineStr">
        <is>
          <t>M</t>
        </is>
      </c>
      <c r="N569" t="n">
        <v>0</v>
      </c>
      <c r="O569" t="n">
        <v>2</v>
      </c>
      <c r="P569" t="n">
        <v>2</v>
      </c>
    </row>
    <row r="570">
      <c r="B570" t="n">
        <v>566</v>
      </c>
      <c r="C570" t="inlineStr">
        <is>
          <t>14345</t>
        </is>
      </c>
      <c r="D570" t="inlineStr">
        <is>
          <t>14345</t>
        </is>
      </c>
      <c r="G570" t="inlineStr">
        <is>
          <t>M29113</t>
        </is>
      </c>
      <c r="H570" t="inlineStr">
        <is>
          <t>E1120</t>
        </is>
      </c>
      <c r="I570" t="inlineStr">
        <is>
          <t>E11202B</t>
        </is>
      </c>
      <c r="J570" t="inlineStr">
        <is>
          <t>MOUNT,TRIPOD,MACHIN - M122A1</t>
        </is>
      </c>
      <c r="K570" t="inlineStr">
        <is>
          <t>IS</t>
        </is>
      </c>
      <c r="L570" t="inlineStr">
        <is>
          <t>EA</t>
        </is>
      </c>
      <c r="M570" t="inlineStr">
        <is>
          <t>N</t>
        </is>
      </c>
      <c r="N570" t="n">
        <v>0</v>
      </c>
      <c r="O570" t="n">
        <v>5</v>
      </c>
      <c r="P570" t="n">
        <v>5</v>
      </c>
    </row>
    <row r="571">
      <c r="B571" t="n">
        <v>567</v>
      </c>
      <c r="C571" t="inlineStr">
        <is>
          <t>14345</t>
        </is>
      </c>
      <c r="D571" t="inlineStr">
        <is>
          <t>14345</t>
        </is>
      </c>
      <c r="G571" t="inlineStr">
        <is>
          <t>M29113</t>
        </is>
      </c>
      <c r="H571" t="inlineStr">
        <is>
          <t>E1123</t>
        </is>
      </c>
      <c r="I571" t="inlineStr">
        <is>
          <t>E11232B</t>
        </is>
      </c>
      <c r="J571" t="inlineStr">
        <is>
          <t>MOUNT,GUN - MK93 MOD2</t>
        </is>
      </c>
      <c r="K571" t="inlineStr">
        <is>
          <t>IS</t>
        </is>
      </c>
      <c r="L571" t="inlineStr">
        <is>
          <t>EA</t>
        </is>
      </c>
      <c r="M571" t="inlineStr">
        <is>
          <t>N</t>
        </is>
      </c>
      <c r="N571" t="n">
        <v>0</v>
      </c>
      <c r="O571" t="n">
        <v>6</v>
      </c>
      <c r="P571" t="n">
        <v>6</v>
      </c>
    </row>
    <row r="572">
      <c r="B572" t="n">
        <v>568</v>
      </c>
      <c r="C572" t="inlineStr">
        <is>
          <t>14345</t>
        </is>
      </c>
      <c r="D572" t="inlineStr">
        <is>
          <t>14345</t>
        </is>
      </c>
      <c r="G572" t="inlineStr">
        <is>
          <t>M29113</t>
        </is>
      </c>
      <c r="H572" t="inlineStr">
        <is>
          <t>E1126</t>
        </is>
      </c>
      <c r="I572" t="inlineStr">
        <is>
          <t>E11262B</t>
        </is>
      </c>
      <c r="J572" t="inlineStr">
        <is>
          <t>MOUNT,TRIPOD,MACHIN - M3</t>
        </is>
      </c>
      <c r="K572" t="inlineStr">
        <is>
          <t>IS</t>
        </is>
      </c>
      <c r="L572" t="inlineStr">
        <is>
          <t>EA</t>
        </is>
      </c>
      <c r="M572" t="inlineStr">
        <is>
          <t>N</t>
        </is>
      </c>
      <c r="N572" t="n">
        <v>0</v>
      </c>
      <c r="O572" t="n">
        <v>4</v>
      </c>
      <c r="P572" t="n">
        <v>4</v>
      </c>
    </row>
    <row r="573">
      <c r="B573" t="n">
        <v>569</v>
      </c>
      <c r="C573" t="inlineStr">
        <is>
          <t>14345</t>
        </is>
      </c>
      <c r="D573" t="inlineStr">
        <is>
          <t>14345</t>
        </is>
      </c>
      <c r="G573" t="inlineStr">
        <is>
          <t>M29113</t>
        </is>
      </c>
      <c r="H573" t="inlineStr">
        <is>
          <t>E1154</t>
        </is>
      </c>
      <c r="I573" t="inlineStr">
        <is>
          <t>E11542B</t>
        </is>
      </c>
      <c r="J573" t="inlineStr">
        <is>
          <t>VIEWER,NIGHT VISION - AN/PVS14</t>
        </is>
      </c>
      <c r="K573" t="inlineStr">
        <is>
          <t>IS</t>
        </is>
      </c>
      <c r="L573" t="inlineStr">
        <is>
          <t>EA</t>
        </is>
      </c>
      <c r="M573" t="inlineStr">
        <is>
          <t>N</t>
        </is>
      </c>
      <c r="N573" t="n">
        <v>0</v>
      </c>
      <c r="O573" t="n">
        <v>63</v>
      </c>
      <c r="P573" t="n">
        <v>63</v>
      </c>
    </row>
    <row r="574">
      <c r="B574" t="n">
        <v>570</v>
      </c>
      <c r="C574" t="inlineStr">
        <is>
          <t>14345</t>
        </is>
      </c>
      <c r="D574" t="inlineStr">
        <is>
          <t>14345</t>
        </is>
      </c>
      <c r="G574" t="inlineStr">
        <is>
          <t>M29113</t>
        </is>
      </c>
      <c r="H574" t="inlineStr">
        <is>
          <t>E1160</t>
        </is>
      </c>
      <c r="I574" t="inlineStr">
        <is>
          <t>E11607G</t>
        </is>
      </c>
      <c r="J574" t="inlineStr">
        <is>
          <t>NIGHT VISION SIGHT - AN/PVS-17C</t>
        </is>
      </c>
      <c r="K574" t="inlineStr">
        <is>
          <t>IS</t>
        </is>
      </c>
      <c r="L574" t="inlineStr">
        <is>
          <t>EA</t>
        </is>
      </c>
      <c r="M574" t="inlineStr">
        <is>
          <t>N</t>
        </is>
      </c>
      <c r="N574" t="n">
        <v>5</v>
      </c>
      <c r="O574" t="n">
        <v>0</v>
      </c>
      <c r="P574" t="n">
        <v>5</v>
      </c>
    </row>
    <row r="575">
      <c r="B575" t="n">
        <v>571</v>
      </c>
      <c r="C575" t="inlineStr">
        <is>
          <t>14345</t>
        </is>
      </c>
      <c r="D575" t="inlineStr">
        <is>
          <t>14345</t>
        </is>
      </c>
      <c r="G575" t="inlineStr">
        <is>
          <t>M29113</t>
        </is>
      </c>
      <c r="H575" t="inlineStr">
        <is>
          <t>E1442</t>
        </is>
      </c>
      <c r="I575" t="inlineStr">
        <is>
          <t>E14422M</t>
        </is>
      </c>
      <c r="J575" t="inlineStr">
        <is>
          <t>RIFLE,5.56 MILLIMET - M16A4</t>
        </is>
      </c>
      <c r="K575" t="inlineStr">
        <is>
          <t>IS</t>
        </is>
      </c>
      <c r="L575" t="inlineStr">
        <is>
          <t>EA</t>
        </is>
      </c>
      <c r="M575" t="inlineStr">
        <is>
          <t>N</t>
        </is>
      </c>
      <c r="N575" t="n">
        <v>37</v>
      </c>
      <c r="O575" t="n">
        <v>0</v>
      </c>
      <c r="P575" t="n">
        <v>37</v>
      </c>
    </row>
    <row r="576">
      <c r="B576" t="n">
        <v>572</v>
      </c>
      <c r="C576" t="inlineStr">
        <is>
          <t>14345</t>
        </is>
      </c>
      <c r="D576" t="inlineStr">
        <is>
          <t>14345</t>
        </is>
      </c>
      <c r="G576" t="inlineStr">
        <is>
          <t>M29113</t>
        </is>
      </c>
      <c r="H576" t="inlineStr">
        <is>
          <t>E1710</t>
        </is>
      </c>
      <c r="I576" t="inlineStr">
        <is>
          <t>E17102B</t>
        </is>
      </c>
      <c r="J576" t="inlineStr">
        <is>
          <t>SIGHT,BORE,OPTICAL - TA31RCO-A4</t>
        </is>
      </c>
      <c r="K576" t="inlineStr">
        <is>
          <t>IS</t>
        </is>
      </c>
      <c r="L576" t="inlineStr">
        <is>
          <t>EA</t>
        </is>
      </c>
      <c r="M576" t="inlineStr">
        <is>
          <t>N</t>
        </is>
      </c>
      <c r="N576" t="n">
        <v>37</v>
      </c>
      <c r="O576" t="n">
        <v>0</v>
      </c>
      <c r="P576" t="n">
        <v>37</v>
      </c>
    </row>
    <row r="577">
      <c r="B577" t="n">
        <v>573</v>
      </c>
      <c r="C577" t="inlineStr">
        <is>
          <t>14345</t>
        </is>
      </c>
      <c r="D577" t="inlineStr">
        <is>
          <t>14345</t>
        </is>
      </c>
      <c r="G577" t="inlineStr">
        <is>
          <t>M29113</t>
        </is>
      </c>
      <c r="H577" t="inlineStr">
        <is>
          <t>E1798</t>
        </is>
      </c>
      <c r="I577" t="inlineStr">
        <is>
          <t>E17982G</t>
        </is>
      </c>
      <c r="J577" t="inlineStr">
        <is>
          <t>ILLUMINATOR,INFRARE - AN/PEQ-15</t>
        </is>
      </c>
      <c r="K577" t="inlineStr">
        <is>
          <t>IS</t>
        </is>
      </c>
      <c r="L577" t="inlineStr">
        <is>
          <t>EA</t>
        </is>
      </c>
      <c r="M577" t="inlineStr">
        <is>
          <t>N</t>
        </is>
      </c>
      <c r="N577" t="n">
        <v>68</v>
      </c>
      <c r="O577" t="n">
        <v>0</v>
      </c>
      <c r="P577" t="n">
        <v>68</v>
      </c>
    </row>
    <row r="578">
      <c r="B578" t="n">
        <v>574</v>
      </c>
      <c r="C578" t="inlineStr">
        <is>
          <t>14345</t>
        </is>
      </c>
      <c r="D578" t="inlineStr">
        <is>
          <t>14345</t>
        </is>
      </c>
      <c r="G578" t="inlineStr">
        <is>
          <t>M29113</t>
        </is>
      </c>
      <c r="H578" t="inlineStr">
        <is>
          <t>E1975</t>
        </is>
      </c>
      <c r="I578" t="inlineStr">
        <is>
          <t>E19757G</t>
        </is>
      </c>
      <c r="J578" t="inlineStr">
        <is>
          <t>SIGHT,THERMAL - AN/PAS13D(V2)</t>
        </is>
      </c>
      <c r="K578" t="inlineStr">
        <is>
          <t>IS</t>
        </is>
      </c>
      <c r="L578" t="inlineStr">
        <is>
          <t>EA</t>
        </is>
      </c>
      <c r="M578" t="inlineStr">
        <is>
          <t>R</t>
        </is>
      </c>
      <c r="N578" t="n">
        <v>5</v>
      </c>
      <c r="O578" t="n">
        <v>0</v>
      </c>
      <c r="P578" t="n">
        <v>5</v>
      </c>
    </row>
    <row r="579">
      <c r="B579" t="n">
        <v>575</v>
      </c>
      <c r="C579" t="inlineStr">
        <is>
          <t>14345</t>
        </is>
      </c>
      <c r="D579" t="inlineStr">
        <is>
          <t>14345</t>
        </is>
      </c>
      <c r="G579" t="inlineStr">
        <is>
          <t>M29113</t>
        </is>
      </c>
      <c r="H579" t="inlineStr">
        <is>
          <t>E1976</t>
        </is>
      </c>
      <c r="I579" t="inlineStr">
        <is>
          <t>E19767G</t>
        </is>
      </c>
      <c r="J579" t="inlineStr">
        <is>
          <t>SIGHT,THERMAL - AN/PAS13D(V3)</t>
        </is>
      </c>
      <c r="K579" t="inlineStr">
        <is>
          <t>IS</t>
        </is>
      </c>
      <c r="L579" t="inlineStr">
        <is>
          <t>EA</t>
        </is>
      </c>
      <c r="M579" t="inlineStr">
        <is>
          <t>R</t>
        </is>
      </c>
      <c r="N579" t="n">
        <v>2</v>
      </c>
      <c r="O579" t="n">
        <v>0</v>
      </c>
      <c r="P579" t="n">
        <v>2</v>
      </c>
    </row>
    <row r="580">
      <c r="B580" t="n">
        <v>576</v>
      </c>
      <c r="C580" t="inlineStr">
        <is>
          <t>21710</t>
        </is>
      </c>
      <c r="D580" t="inlineStr">
        <is>
          <t>21710</t>
        </is>
      </c>
      <c r="G580" t="inlineStr">
        <is>
          <t>M29113</t>
        </is>
      </c>
      <c r="H580" t="inlineStr">
        <is>
          <t>A1260</t>
        </is>
      </c>
      <c r="I580" t="inlineStr">
        <is>
          <t>A12607GK</t>
        </is>
      </c>
      <c r="J580" t="inlineStr">
        <is>
          <t>NAVIGATION SET,SATE - AN/PSN-13(A)</t>
        </is>
      </c>
      <c r="K580" t="inlineStr">
        <is>
          <t>IS</t>
        </is>
      </c>
      <c r="L580" t="inlineStr">
        <is>
          <t>EA</t>
        </is>
      </c>
      <c r="M580" t="inlineStr"/>
      <c r="N580" t="n">
        <v>0</v>
      </c>
      <c r="O580" t="n">
        <v>1</v>
      </c>
      <c r="P580" t="n">
        <v>1</v>
      </c>
    </row>
    <row r="581">
      <c r="B581" t="n">
        <v>577</v>
      </c>
      <c r="C581" t="inlineStr">
        <is>
          <t>21710</t>
        </is>
      </c>
      <c r="D581" t="inlineStr">
        <is>
          <t>21710</t>
        </is>
      </c>
      <c r="G581" t="inlineStr">
        <is>
          <t>M29113</t>
        </is>
      </c>
      <c r="H581" t="inlineStr">
        <is>
          <t>A1260</t>
        </is>
      </c>
      <c r="I581" t="inlineStr">
        <is>
          <t>A12607GL</t>
        </is>
      </c>
      <c r="J581" t="inlineStr">
        <is>
          <t>RECEIVER,RADIO NAVI - AN/PSN-13(B)</t>
        </is>
      </c>
      <c r="K581" t="inlineStr">
        <is>
          <t>DP</t>
        </is>
      </c>
      <c r="L581" t="inlineStr">
        <is>
          <t>EA</t>
        </is>
      </c>
      <c r="M581" t="inlineStr"/>
      <c r="N581" t="n">
        <v>0</v>
      </c>
      <c r="O581" t="n">
        <v>0</v>
      </c>
      <c r="P581" t="n">
        <v>0</v>
      </c>
    </row>
    <row r="582">
      <c r="B582" t="n">
        <v>578</v>
      </c>
      <c r="C582" t="inlineStr">
        <is>
          <t>14345</t>
        </is>
      </c>
      <c r="D582" t="inlineStr">
        <is>
          <t>14345</t>
        </is>
      </c>
      <c r="G582" t="inlineStr">
        <is>
          <t>M29113</t>
        </is>
      </c>
      <c r="H582" t="inlineStr">
        <is>
          <t>A8084</t>
        </is>
      </c>
      <c r="I582" t="inlineStr">
        <is>
          <t>A80847GB</t>
        </is>
      </c>
      <c r="J582" t="inlineStr">
        <is>
          <t>ENCRYPTION-DECRYPTI - KIV-7M</t>
        </is>
      </c>
      <c r="K582" t="inlineStr">
        <is>
          <t>IS</t>
        </is>
      </c>
      <c r="L582" t="inlineStr">
        <is>
          <t>EA</t>
        </is>
      </c>
      <c r="M582" t="inlineStr"/>
      <c r="N582" t="n">
        <v>0</v>
      </c>
      <c r="O582" t="n">
        <v>2</v>
      </c>
      <c r="P582" t="n">
        <v>2</v>
      </c>
    </row>
    <row r="583">
      <c r="B583" t="n">
        <v>579</v>
      </c>
      <c r="C583" t="inlineStr">
        <is>
          <t>14345</t>
        </is>
      </c>
      <c r="D583" t="inlineStr">
        <is>
          <t>14345</t>
        </is>
      </c>
      <c r="G583" t="inlineStr">
        <is>
          <t>M29113</t>
        </is>
      </c>
      <c r="H583" t="inlineStr">
        <is>
          <t>A8088</t>
        </is>
      </c>
      <c r="I583" t="inlineStr">
        <is>
          <t>A80887GB</t>
        </is>
      </c>
      <c r="J583" t="inlineStr">
        <is>
          <t>ENCRYPTION-DECRYPTI - KG-175D</t>
        </is>
      </c>
      <c r="K583" t="inlineStr">
        <is>
          <t>IS</t>
        </is>
      </c>
      <c r="L583" t="inlineStr">
        <is>
          <t>EA</t>
        </is>
      </c>
      <c r="M583" t="inlineStr"/>
      <c r="N583" t="n">
        <v>0</v>
      </c>
      <c r="O583" t="n">
        <v>2</v>
      </c>
      <c r="P583" t="n">
        <v>2</v>
      </c>
    </row>
    <row r="584">
      <c r="B584" t="n">
        <v>580</v>
      </c>
      <c r="C584" t="inlineStr">
        <is>
          <t>61072</t>
        </is>
      </c>
      <c r="D584" t="inlineStr">
        <is>
          <t>61072</t>
        </is>
      </c>
      <c r="G584" t="inlineStr">
        <is>
          <t>M29113</t>
        </is>
      </c>
      <c r="H584" t="inlineStr">
        <is>
          <t>A9025</t>
        </is>
      </c>
      <c r="I584" t="inlineStr">
        <is>
          <t>A90257GB</t>
        </is>
      </c>
      <c r="J584" t="inlineStr">
        <is>
          <t>COMPUTER,SERVER - SEVERAL</t>
        </is>
      </c>
      <c r="K584" t="inlineStr">
        <is>
          <t>DP</t>
        </is>
      </c>
      <c r="L584" t="inlineStr">
        <is>
          <t>EA</t>
        </is>
      </c>
      <c r="M584" t="inlineStr"/>
      <c r="N584" t="n">
        <v>0</v>
      </c>
      <c r="O584" t="n">
        <v>2</v>
      </c>
      <c r="P584" t="n">
        <v>2</v>
      </c>
    </row>
    <row r="585">
      <c r="B585" t="n">
        <v>581</v>
      </c>
      <c r="C585" t="inlineStr">
        <is>
          <t>61072</t>
        </is>
      </c>
      <c r="D585" t="inlineStr">
        <is>
          <t>61072</t>
        </is>
      </c>
      <c r="G585" t="inlineStr">
        <is>
          <t>M29113</t>
        </is>
      </c>
      <c r="H585" t="inlineStr">
        <is>
          <t>A9100</t>
        </is>
      </c>
      <c r="I585" t="inlineStr">
        <is>
          <t>A91007GL</t>
        </is>
      </c>
      <c r="J585" t="inlineStr">
        <is>
          <t>COMPUTER SYSTEM,DIG - SEVERAL</t>
        </is>
      </c>
      <c r="K585" t="inlineStr">
        <is>
          <t>DP</t>
        </is>
      </c>
      <c r="L585" t="inlineStr">
        <is>
          <t>EA</t>
        </is>
      </c>
      <c r="M585" t="inlineStr"/>
      <c r="N585" t="n">
        <v>0</v>
      </c>
      <c r="O585" t="n">
        <v>0</v>
      </c>
      <c r="P585" t="n">
        <v>0</v>
      </c>
    </row>
    <row r="586">
      <c r="B586" t="n">
        <v>582</v>
      </c>
      <c r="C586" t="inlineStr">
        <is>
          <t>61072</t>
        </is>
      </c>
      <c r="D586" t="inlineStr">
        <is>
          <t>61072</t>
        </is>
      </c>
      <c r="G586" t="inlineStr">
        <is>
          <t>M29113</t>
        </is>
      </c>
      <c r="H586" t="inlineStr">
        <is>
          <t>A9100</t>
        </is>
      </c>
      <c r="I586" t="inlineStr">
        <is>
          <t>A91007GM</t>
        </is>
      </c>
      <c r="J586" t="inlineStr">
        <is>
          <t>COMPUTER SYSTEM,DIG - 210-AFUC</t>
        </is>
      </c>
      <c r="K586" t="inlineStr">
        <is>
          <t>DP</t>
        </is>
      </c>
      <c r="L586" t="inlineStr">
        <is>
          <t>EA</t>
        </is>
      </c>
      <c r="M586" t="inlineStr"/>
      <c r="N586" t="n">
        <v>0</v>
      </c>
      <c r="O586" t="n">
        <v>1</v>
      </c>
      <c r="P586" t="n">
        <v>1</v>
      </c>
    </row>
    <row r="587">
      <c r="B587" t="n">
        <v>583</v>
      </c>
      <c r="C587" t="inlineStr">
        <is>
          <t>21730</t>
        </is>
      </c>
      <c r="D587" t="inlineStr">
        <is>
          <t>21730</t>
        </is>
      </c>
      <c r="G587" t="inlineStr">
        <is>
          <t>M29113</t>
        </is>
      </c>
      <c r="H587" t="inlineStr">
        <is>
          <t>B0072</t>
        </is>
      </c>
      <c r="I587" t="inlineStr">
        <is>
          <t>B00727GA</t>
        </is>
      </c>
      <c r="J587" t="inlineStr">
        <is>
          <t>INSTRUMENT SET,RECO</t>
        </is>
      </c>
      <c r="K587" t="inlineStr">
        <is>
          <t>PL</t>
        </is>
      </c>
      <c r="L587" t="inlineStr">
        <is>
          <t>EA</t>
        </is>
      </c>
      <c r="M587" t="inlineStr"/>
      <c r="N587" t="n">
        <v>0</v>
      </c>
      <c r="O587" t="n">
        <v>1</v>
      </c>
      <c r="P587" t="n">
        <v>1</v>
      </c>
    </row>
    <row r="588">
      <c r="B588" t="n">
        <v>584</v>
      </c>
      <c r="C588" t="inlineStr">
        <is>
          <t>21710</t>
        </is>
      </c>
      <c r="D588" t="inlineStr">
        <is>
          <t>21710</t>
        </is>
      </c>
      <c r="G588" t="inlineStr">
        <is>
          <t>M29113</t>
        </is>
      </c>
      <c r="H588" t="inlineStr">
        <is>
          <t>B0215</t>
        </is>
      </c>
      <c r="I588" t="inlineStr">
        <is>
          <t>B02157BA</t>
        </is>
      </c>
      <c r="J588" t="inlineStr">
        <is>
          <t>BUCKET,MULTI-PURPOS - 4 IN 1 2 1/2 YD</t>
        </is>
      </c>
      <c r="K588" t="inlineStr">
        <is>
          <t>IS</t>
        </is>
      </c>
      <c r="L588" t="inlineStr">
        <is>
          <t>EA</t>
        </is>
      </c>
      <c r="M588" t="inlineStr"/>
      <c r="N588" t="n">
        <v>0</v>
      </c>
      <c r="O588" t="n">
        <v>1</v>
      </c>
      <c r="P588" t="n">
        <v>1</v>
      </c>
    </row>
    <row r="589">
      <c r="B589" t="n">
        <v>585</v>
      </c>
      <c r="C589" t="inlineStr">
        <is>
          <t>21710</t>
        </is>
      </c>
      <c r="D589" t="inlineStr">
        <is>
          <t>21710</t>
        </is>
      </c>
      <c r="G589" t="inlineStr">
        <is>
          <t>M29113</t>
        </is>
      </c>
      <c r="H589" t="inlineStr">
        <is>
          <t>B0647</t>
        </is>
      </c>
      <c r="I589" t="inlineStr">
        <is>
          <t>B06477BA</t>
        </is>
      </c>
      <c r="J589" t="inlineStr">
        <is>
          <t>FORK,3-WAY,HYDRAULI - 91002060</t>
        </is>
      </c>
      <c r="K589" t="inlineStr">
        <is>
          <t>IS</t>
        </is>
      </c>
      <c r="L589" t="inlineStr">
        <is>
          <t>EA</t>
        </is>
      </c>
      <c r="M589" t="inlineStr"/>
      <c r="N589" t="n">
        <v>0</v>
      </c>
      <c r="O589" t="n">
        <v>1</v>
      </c>
      <c r="P589" t="n">
        <v>1</v>
      </c>
    </row>
    <row r="590">
      <c r="B590" t="n">
        <v>586</v>
      </c>
      <c r="C590" t="inlineStr">
        <is>
          <t>21710</t>
        </is>
      </c>
      <c r="D590" t="inlineStr">
        <is>
          <t>21710</t>
        </is>
      </c>
      <c r="G590" t="inlineStr">
        <is>
          <t>M29113</t>
        </is>
      </c>
      <c r="H590" t="inlineStr">
        <is>
          <t>B2130</t>
        </is>
      </c>
      <c r="I590" t="inlineStr">
        <is>
          <t>B21307BB</t>
        </is>
      </c>
      <c r="J590" t="inlineStr">
        <is>
          <t>TANK,WATER,3000 GAL - RCF-3K-W-OT</t>
        </is>
      </c>
      <c r="K590" t="inlineStr">
        <is>
          <t>IS</t>
        </is>
      </c>
      <c r="L590" t="inlineStr">
        <is>
          <t>EA</t>
        </is>
      </c>
      <c r="M590" t="inlineStr"/>
      <c r="N590" t="n">
        <v>0</v>
      </c>
      <c r="O590" t="n">
        <v>2</v>
      </c>
      <c r="P590" t="n">
        <v>2</v>
      </c>
    </row>
    <row r="591">
      <c r="B591" t="n">
        <v>587</v>
      </c>
      <c r="C591" t="inlineStr">
        <is>
          <t>21710</t>
        </is>
      </c>
      <c r="D591" t="inlineStr">
        <is>
          <t>21710</t>
        </is>
      </c>
      <c r="G591" t="inlineStr">
        <is>
          <t>M29113</t>
        </is>
      </c>
      <c r="H591" t="inlineStr">
        <is>
          <t>B2130</t>
        </is>
      </c>
      <c r="I591" t="inlineStr">
        <is>
          <t>B21307BD</t>
        </is>
      </c>
      <c r="J591" t="inlineStr">
        <is>
          <t>TANK,FABRIC,COLLAPS - RCF-3K-W-OT</t>
        </is>
      </c>
      <c r="K591" t="inlineStr">
        <is>
          <t>IS</t>
        </is>
      </c>
      <c r="L591" t="inlineStr">
        <is>
          <t>EA</t>
        </is>
      </c>
      <c r="M591" t="inlineStr"/>
      <c r="N591" t="n">
        <v>0</v>
      </c>
      <c r="O591" t="n">
        <v>2</v>
      </c>
      <c r="P591" t="n">
        <v>2</v>
      </c>
    </row>
    <row r="592">
      <c r="B592" t="n">
        <v>588</v>
      </c>
      <c r="C592" t="inlineStr">
        <is>
          <t>44112</t>
        </is>
      </c>
      <c r="D592" t="inlineStr">
        <is>
          <t>44112</t>
        </is>
      </c>
      <c r="G592" t="inlineStr">
        <is>
          <t>M29113</t>
        </is>
      </c>
      <c r="H592" t="inlineStr">
        <is>
          <t>C0077</t>
        </is>
      </c>
      <c r="I592" t="inlineStr">
        <is>
          <t>C00772EA</t>
        </is>
      </c>
      <c r="J592" t="inlineStr">
        <is>
          <t>COLLAPSIBLE JMIC 3. - TAN</t>
        </is>
      </c>
      <c r="K592" t="inlineStr">
        <is>
          <t>IS</t>
        </is>
      </c>
      <c r="L592" t="inlineStr">
        <is>
          <t>EA</t>
        </is>
      </c>
      <c r="M592" t="inlineStr"/>
      <c r="N592" t="n">
        <v>0</v>
      </c>
      <c r="O592" t="n">
        <v>1</v>
      </c>
      <c r="P592" t="n">
        <v>1</v>
      </c>
    </row>
    <row r="593">
      <c r="B593" t="n">
        <v>589</v>
      </c>
      <c r="C593" t="inlineStr">
        <is>
          <t>44112</t>
        </is>
      </c>
      <c r="D593" t="inlineStr">
        <is>
          <t>44112</t>
        </is>
      </c>
      <c r="G593" t="inlineStr">
        <is>
          <t>M29113</t>
        </is>
      </c>
      <c r="H593" t="inlineStr">
        <is>
          <t>C0077</t>
        </is>
      </c>
      <c r="I593" t="inlineStr">
        <is>
          <t>C00772EB</t>
        </is>
      </c>
      <c r="J593" t="inlineStr">
        <is>
          <t>COLLAPSIBLE,JMIC 3. - 7517221-3</t>
        </is>
      </c>
      <c r="K593" t="inlineStr">
        <is>
          <t>IS</t>
        </is>
      </c>
      <c r="L593" t="inlineStr">
        <is>
          <t>EA</t>
        </is>
      </c>
      <c r="M593" t="inlineStr"/>
      <c r="N593" t="n">
        <v>0</v>
      </c>
      <c r="O593" t="n">
        <v>0</v>
      </c>
      <c r="P593" t="n">
        <v>0</v>
      </c>
    </row>
    <row r="594">
      <c r="B594" t="n">
        <v>590</v>
      </c>
      <c r="C594" t="inlineStr">
        <is>
          <t>44112</t>
        </is>
      </c>
      <c r="D594" t="inlineStr">
        <is>
          <t>44112</t>
        </is>
      </c>
      <c r="G594" t="inlineStr">
        <is>
          <t>M29113</t>
        </is>
      </c>
      <c r="H594" t="inlineStr">
        <is>
          <t>C4433</t>
        </is>
      </c>
      <c r="I594" t="inlineStr">
        <is>
          <t>C44332EA</t>
        </is>
      </c>
      <c r="J594" t="inlineStr">
        <is>
          <t>SHIPPING AND STORAG - SB812M</t>
        </is>
      </c>
      <c r="K594" t="inlineStr">
        <is>
          <t>IS</t>
        </is>
      </c>
      <c r="L594" t="inlineStr">
        <is>
          <t>EA</t>
        </is>
      </c>
      <c r="M594" t="inlineStr"/>
      <c r="N594" t="n">
        <v>0</v>
      </c>
      <c r="O594" t="n">
        <v>4</v>
      </c>
      <c r="P594" t="n">
        <v>4</v>
      </c>
    </row>
    <row r="595">
      <c r="B595" t="n">
        <v>591</v>
      </c>
      <c r="C595" t="inlineStr">
        <is>
          <t>44112</t>
        </is>
      </c>
      <c r="D595" t="inlineStr">
        <is>
          <t>44112</t>
        </is>
      </c>
      <c r="G595" t="inlineStr">
        <is>
          <t>M29113</t>
        </is>
      </c>
      <c r="H595" t="inlineStr">
        <is>
          <t>C4433</t>
        </is>
      </c>
      <c r="I595" t="inlineStr">
        <is>
          <t>C44332EB</t>
        </is>
      </c>
      <c r="J595" t="inlineStr">
        <is>
          <t>BOX,SHIPPING - CMCI115A</t>
        </is>
      </c>
      <c r="K595" t="inlineStr">
        <is>
          <t>IS</t>
        </is>
      </c>
      <c r="L595" t="inlineStr">
        <is>
          <t>EA</t>
        </is>
      </c>
      <c r="M595" t="inlineStr"/>
      <c r="N595" t="n">
        <v>0</v>
      </c>
      <c r="O595" t="n">
        <v>0</v>
      </c>
      <c r="P595" t="n">
        <v>0</v>
      </c>
    </row>
    <row r="596">
      <c r="B596" t="n">
        <v>592</v>
      </c>
      <c r="C596" t="inlineStr">
        <is>
          <t>21451</t>
        </is>
      </c>
      <c r="D596" t="inlineStr">
        <is>
          <t>21451</t>
        </is>
      </c>
      <c r="G596" t="inlineStr">
        <is>
          <t>M29113</t>
        </is>
      </c>
      <c r="H596" t="inlineStr">
        <is>
          <t>D0001</t>
        </is>
      </c>
      <c r="I596" t="inlineStr">
        <is>
          <t>D00012BA</t>
        </is>
      </c>
      <c r="J596" t="inlineStr">
        <is>
          <t>ACCESSORY KIT,VEHIC - 57K8831</t>
        </is>
      </c>
      <c r="K596" t="inlineStr">
        <is>
          <t>IS</t>
        </is>
      </c>
      <c r="L596" t="inlineStr">
        <is>
          <t>EA</t>
        </is>
      </c>
      <c r="M596" t="inlineStr"/>
      <c r="N596" t="n">
        <v>0</v>
      </c>
      <c r="O596" t="n">
        <v>0</v>
      </c>
      <c r="P596" t="n">
        <v>0</v>
      </c>
    </row>
    <row r="597">
      <c r="B597" t="n">
        <v>593</v>
      </c>
      <c r="C597" t="inlineStr">
        <is>
          <t>21451</t>
        </is>
      </c>
      <c r="D597" t="inlineStr">
        <is>
          <t>21451</t>
        </is>
      </c>
      <c r="G597" t="inlineStr">
        <is>
          <t>M29113</t>
        </is>
      </c>
      <c r="H597" t="inlineStr">
        <is>
          <t>D0001</t>
        </is>
      </c>
      <c r="I597" t="inlineStr">
        <is>
          <t>D00012BA</t>
        </is>
      </c>
      <c r="J597" t="inlineStr">
        <is>
          <t>ACCESSORY KIT,VEHIC - 57K8831</t>
        </is>
      </c>
      <c r="K597" t="inlineStr">
        <is>
          <t>IS</t>
        </is>
      </c>
      <c r="L597" t="inlineStr">
        <is>
          <t>EA</t>
        </is>
      </c>
      <c r="M597" t="inlineStr"/>
      <c r="N597" t="n">
        <v>0</v>
      </c>
      <c r="O597" t="n">
        <v>2</v>
      </c>
      <c r="P597" t="n">
        <v>2</v>
      </c>
    </row>
    <row r="598">
      <c r="B598" t="n">
        <v>594</v>
      </c>
      <c r="C598" t="inlineStr">
        <is>
          <t>21451</t>
        </is>
      </c>
      <c r="D598" t="inlineStr">
        <is>
          <t>21451</t>
        </is>
      </c>
      <c r="G598" t="inlineStr">
        <is>
          <t>M29113</t>
        </is>
      </c>
      <c r="H598" t="inlineStr">
        <is>
          <t>D0019</t>
        </is>
      </c>
      <c r="I598" t="inlineStr">
        <is>
          <t>D00192BA</t>
        </is>
      </c>
      <c r="J598" t="inlineStr">
        <is>
          <t>ACCESSORY KIT,VEHIC - 57K8832</t>
        </is>
      </c>
      <c r="K598" t="inlineStr">
        <is>
          <t>IS</t>
        </is>
      </c>
      <c r="L598" t="inlineStr">
        <is>
          <t>EA</t>
        </is>
      </c>
      <c r="M598" t="inlineStr"/>
      <c r="N598" t="n">
        <v>0</v>
      </c>
      <c r="O598" t="n">
        <v>2</v>
      </c>
      <c r="P598" t="n">
        <v>2</v>
      </c>
    </row>
    <row r="599">
      <c r="B599" t="n">
        <v>595</v>
      </c>
      <c r="C599" t="inlineStr">
        <is>
          <t>21710</t>
        </is>
      </c>
      <c r="D599" t="inlineStr">
        <is>
          <t>21710</t>
        </is>
      </c>
      <c r="G599" t="inlineStr">
        <is>
          <t>M29113</t>
        </is>
      </c>
      <c r="H599" t="inlineStr">
        <is>
          <t>D0045</t>
        </is>
      </c>
      <c r="I599" t="inlineStr">
        <is>
          <t>D00457KA</t>
        </is>
      </c>
      <c r="J599" t="inlineStr">
        <is>
          <t>TRUCK,UTILITY - M1280A1</t>
        </is>
      </c>
      <c r="K599" t="inlineStr">
        <is>
          <t>IS</t>
        </is>
      </c>
      <c r="L599" t="inlineStr">
        <is>
          <t>EA</t>
        </is>
      </c>
      <c r="M599" t="inlineStr"/>
      <c r="N599" t="n">
        <v>0</v>
      </c>
      <c r="O599" t="n">
        <v>0</v>
      </c>
      <c r="P599" t="n">
        <v>0</v>
      </c>
    </row>
    <row r="600">
      <c r="B600" t="n">
        <v>596</v>
      </c>
      <c r="C600" t="inlineStr">
        <is>
          <t>21710</t>
        </is>
      </c>
      <c r="D600" t="inlineStr">
        <is>
          <t>21710</t>
        </is>
      </c>
      <c r="G600" t="inlineStr">
        <is>
          <t>M29113</t>
        </is>
      </c>
      <c r="H600" t="inlineStr">
        <is>
          <t>D0058</t>
        </is>
      </c>
      <c r="I600" t="inlineStr">
        <is>
          <t>D00587KA</t>
        </is>
      </c>
      <c r="J600" t="inlineStr">
        <is>
          <t>TRAILER,CARGO</t>
        </is>
      </c>
      <c r="K600" t="inlineStr">
        <is>
          <t>IS</t>
        </is>
      </c>
      <c r="L600" t="inlineStr">
        <is>
          <t>EA</t>
        </is>
      </c>
      <c r="M600" t="inlineStr"/>
      <c r="N600" t="n">
        <v>0</v>
      </c>
      <c r="O600" t="n">
        <v>1</v>
      </c>
      <c r="P600" t="n">
        <v>1</v>
      </c>
    </row>
    <row r="601">
      <c r="B601" t="n">
        <v>597</v>
      </c>
      <c r="C601" t="inlineStr">
        <is>
          <t>21710</t>
        </is>
      </c>
      <c r="D601" t="inlineStr">
        <is>
          <t>21710</t>
        </is>
      </c>
      <c r="G601" t="inlineStr">
        <is>
          <t>M29113</t>
        </is>
      </c>
      <c r="H601" t="inlineStr">
        <is>
          <t>D1158</t>
        </is>
      </c>
      <c r="I601" t="inlineStr">
        <is>
          <t>D11587KK</t>
        </is>
      </c>
      <c r="J601" t="inlineStr">
        <is>
          <t>TRUCK,UTILITY - M1123</t>
        </is>
      </c>
      <c r="K601" t="inlineStr">
        <is>
          <t>IS</t>
        </is>
      </c>
      <c r="L601" t="inlineStr">
        <is>
          <t>EA</t>
        </is>
      </c>
      <c r="M601" t="inlineStr"/>
      <c r="N601" t="n">
        <v>0</v>
      </c>
      <c r="O601" t="n">
        <v>1</v>
      </c>
      <c r="P601" t="n">
        <v>1</v>
      </c>
    </row>
    <row r="602">
      <c r="B602" t="n">
        <v>598</v>
      </c>
      <c r="C602" t="inlineStr">
        <is>
          <t>14345</t>
        </is>
      </c>
      <c r="D602" t="inlineStr">
        <is>
          <t>14345</t>
        </is>
      </c>
      <c r="G602" t="inlineStr">
        <is>
          <t>M29113</t>
        </is>
      </c>
      <c r="H602" t="inlineStr">
        <is>
          <t>E0071</t>
        </is>
      </c>
      <c r="I602" t="inlineStr">
        <is>
          <t>E00712BA</t>
        </is>
      </c>
      <c r="J602" t="inlineStr">
        <is>
          <t>ARMOR SET,SUPPLEMEN - MCTAGS</t>
        </is>
      </c>
      <c r="K602" t="inlineStr">
        <is>
          <t>IS</t>
        </is>
      </c>
      <c r="L602" t="inlineStr">
        <is>
          <t>SE</t>
        </is>
      </c>
      <c r="M602" t="inlineStr"/>
      <c r="N602" t="n">
        <v>0</v>
      </c>
      <c r="O602" t="n">
        <v>0</v>
      </c>
      <c r="P602" t="n">
        <v>0</v>
      </c>
    </row>
    <row r="603">
      <c r="B603" t="n">
        <v>599</v>
      </c>
      <c r="C603" t="inlineStr">
        <is>
          <t>14345</t>
        </is>
      </c>
      <c r="D603" t="inlineStr">
        <is>
          <t>14345</t>
        </is>
      </c>
      <c r="G603" t="inlineStr">
        <is>
          <t>M29113</t>
        </is>
      </c>
      <c r="H603" t="inlineStr">
        <is>
          <t>E0071</t>
        </is>
      </c>
      <c r="I603" t="inlineStr">
        <is>
          <t>E00712BD</t>
        </is>
      </c>
      <c r="J603" t="inlineStr">
        <is>
          <t>PLATFORM,GUNNER,VEH - RH-GPK</t>
        </is>
      </c>
      <c r="K603" t="inlineStr">
        <is>
          <t>IS</t>
        </is>
      </c>
      <c r="L603" t="inlineStr">
        <is>
          <t>EA</t>
        </is>
      </c>
      <c r="M603" t="inlineStr"/>
      <c r="N603" t="n">
        <v>0</v>
      </c>
      <c r="O603" t="n">
        <v>2</v>
      </c>
      <c r="P603" t="n">
        <v>2</v>
      </c>
    </row>
    <row r="604">
      <c r="B604" t="n">
        <v>600</v>
      </c>
      <c r="C604" t="inlineStr">
        <is>
          <t>14345</t>
        </is>
      </c>
      <c r="D604" t="inlineStr">
        <is>
          <t>14345</t>
        </is>
      </c>
      <c r="G604" t="inlineStr">
        <is>
          <t>M29113</t>
        </is>
      </c>
      <c r="H604" t="inlineStr">
        <is>
          <t>E0071</t>
        </is>
      </c>
      <c r="I604" t="inlineStr">
        <is>
          <t>E00712BD</t>
        </is>
      </c>
      <c r="J604" t="inlineStr">
        <is>
          <t>PLATFORM,GUNNER,VEH - RH-GPK</t>
        </is>
      </c>
      <c r="K604" t="inlineStr">
        <is>
          <t>IS</t>
        </is>
      </c>
      <c r="L604" t="inlineStr">
        <is>
          <t>EA</t>
        </is>
      </c>
      <c r="M604" t="inlineStr"/>
      <c r="N604" t="n">
        <v>0</v>
      </c>
      <c r="O604" t="n">
        <v>4</v>
      </c>
      <c r="P604" t="n">
        <v>4</v>
      </c>
    </row>
    <row r="605">
      <c r="B605" t="n">
        <v>601</v>
      </c>
      <c r="C605" t="inlineStr">
        <is>
          <t>14345</t>
        </is>
      </c>
      <c r="D605" t="inlineStr">
        <is>
          <t>14345</t>
        </is>
      </c>
      <c r="G605" t="inlineStr">
        <is>
          <t>M29113</t>
        </is>
      </c>
      <c r="H605" t="inlineStr">
        <is>
          <t>E0071</t>
        </is>
      </c>
      <c r="I605" t="inlineStr">
        <is>
          <t>E00712BD</t>
        </is>
      </c>
      <c r="J605" t="inlineStr">
        <is>
          <t>PLATFORM,GUNNER,VEH - RH-GPK</t>
        </is>
      </c>
      <c r="K605" t="inlineStr">
        <is>
          <t>IS</t>
        </is>
      </c>
      <c r="L605" t="inlineStr">
        <is>
          <t>EA</t>
        </is>
      </c>
      <c r="M605" t="inlineStr"/>
      <c r="N605" t="n">
        <v>0</v>
      </c>
      <c r="O605" t="n">
        <v>6</v>
      </c>
      <c r="P605" t="n">
        <v>6</v>
      </c>
    </row>
    <row r="606">
      <c r="B606" t="n">
        <v>602</v>
      </c>
      <c r="C606" t="inlineStr">
        <is>
          <t>21451</t>
        </is>
      </c>
      <c r="D606" t="inlineStr">
        <is>
          <t>21451</t>
        </is>
      </c>
      <c r="G606" t="inlineStr">
        <is>
          <t>M29113</t>
        </is>
      </c>
      <c r="H606" t="inlineStr">
        <is>
          <t>H7030</t>
        </is>
      </c>
      <c r="I606" t="inlineStr">
        <is>
          <t>H70302BA</t>
        </is>
      </c>
      <c r="J606" t="inlineStr">
        <is>
          <t>MULTIMETER - 77/BN</t>
        </is>
      </c>
      <c r="K606" t="inlineStr">
        <is>
          <t>IS</t>
        </is>
      </c>
      <c r="L606" t="inlineStr">
        <is>
          <t>EA</t>
        </is>
      </c>
      <c r="M606" t="inlineStr"/>
      <c r="N606" t="n">
        <v>0</v>
      </c>
      <c r="O606" t="n">
        <v>1</v>
      </c>
      <c r="P606" t="n">
        <v>1</v>
      </c>
    </row>
    <row r="607">
      <c r="B607" t="n">
        <v>603</v>
      </c>
      <c r="C607" t="inlineStr">
        <is>
          <t>44112</t>
        </is>
      </c>
      <c r="D607" t="inlineStr">
        <is>
          <t>44112</t>
        </is>
      </c>
      <c r="G607" t="inlineStr">
        <is>
          <t>M29113</t>
        </is>
      </c>
      <c r="H607" t="inlineStr">
        <is>
          <t>J0006</t>
        </is>
      </c>
      <c r="I607" t="inlineStr">
        <is>
          <t>J00062BA</t>
        </is>
      </c>
      <c r="J607" t="inlineStr">
        <is>
          <t>SOLAR CELL PANEL</t>
        </is>
      </c>
      <c r="K607" t="inlineStr">
        <is>
          <t>IS</t>
        </is>
      </c>
      <c r="L607" t="inlineStr">
        <is>
          <t>EA</t>
        </is>
      </c>
      <c r="M607" t="inlineStr"/>
      <c r="N607" t="n">
        <v>0</v>
      </c>
      <c r="O607" t="n">
        <v>4</v>
      </c>
      <c r="P607" t="n">
        <v>4</v>
      </c>
    </row>
    <row r="608">
      <c r="B608" t="n">
        <v>604</v>
      </c>
      <c r="C608" t="inlineStr">
        <is>
          <t>44112</t>
        </is>
      </c>
      <c r="D608" t="inlineStr">
        <is>
          <t>44112</t>
        </is>
      </c>
      <c r="G608" t="inlineStr">
        <is>
          <t>M29113</t>
        </is>
      </c>
      <c r="H608" t="inlineStr">
        <is>
          <t>J3187</t>
        </is>
      </c>
      <c r="I608" t="inlineStr">
        <is>
          <t>J31872BA</t>
        </is>
      </c>
      <c r="J608" t="inlineStr">
        <is>
          <t>REPAIR KIT,PUNCTURE</t>
        </is>
      </c>
      <c r="K608" t="inlineStr">
        <is>
          <t>IS</t>
        </is>
      </c>
      <c r="L608" t="inlineStr">
        <is>
          <t>EA</t>
        </is>
      </c>
      <c r="M608" t="inlineStr"/>
      <c r="N608" t="n">
        <v>0</v>
      </c>
      <c r="O608" t="n">
        <v>1</v>
      </c>
      <c r="P608" t="n">
        <v>1</v>
      </c>
    </row>
    <row r="609">
      <c r="B609" t="n">
        <v>605</v>
      </c>
      <c r="C609" t="inlineStr">
        <is>
          <t>44112</t>
        </is>
      </c>
      <c r="D609" t="inlineStr">
        <is>
          <t>44112</t>
        </is>
      </c>
      <c r="G609" t="inlineStr">
        <is>
          <t>M29113</t>
        </is>
      </c>
      <c r="H609" t="inlineStr">
        <is>
          <t>K4128</t>
        </is>
      </c>
      <c r="I609" t="inlineStr">
        <is>
          <t>K41282EA</t>
        </is>
      </c>
      <c r="J609" t="inlineStr">
        <is>
          <t>CAN,MILITARY</t>
        </is>
      </c>
      <c r="K609" t="inlineStr">
        <is>
          <t>IS</t>
        </is>
      </c>
      <c r="L609" t="inlineStr">
        <is>
          <t>EA</t>
        </is>
      </c>
      <c r="M609" t="inlineStr"/>
      <c r="N609" t="n">
        <v>0</v>
      </c>
      <c r="O609" t="n">
        <v>2</v>
      </c>
      <c r="P609" t="n">
        <v>2</v>
      </c>
    </row>
    <row r="610">
      <c r="B610" t="n">
        <v>606</v>
      </c>
      <c r="C610" t="inlineStr">
        <is>
          <t>44112</t>
        </is>
      </c>
      <c r="D610" t="inlineStr">
        <is>
          <t>44112</t>
        </is>
      </c>
      <c r="G610" t="inlineStr">
        <is>
          <t>M29113</t>
        </is>
      </c>
      <c r="H610" t="inlineStr">
        <is>
          <t>K4128</t>
        </is>
      </c>
      <c r="I610" t="inlineStr">
        <is>
          <t>K41282EA</t>
        </is>
      </c>
      <c r="J610" t="inlineStr">
        <is>
          <t>CAN,MILITARY</t>
        </is>
      </c>
      <c r="K610" t="inlineStr">
        <is>
          <t>IS</t>
        </is>
      </c>
      <c r="L610" t="inlineStr">
        <is>
          <t>EA</t>
        </is>
      </c>
      <c r="M610" t="inlineStr"/>
      <c r="N610" t="n">
        <v>0</v>
      </c>
      <c r="O610" t="n">
        <v>4</v>
      </c>
      <c r="P610" t="n">
        <v>4</v>
      </c>
    </row>
    <row r="611">
      <c r="B611" t="n">
        <v>607</v>
      </c>
      <c r="C611" t="inlineStr">
        <is>
          <t>44112</t>
        </is>
      </c>
      <c r="D611" t="inlineStr">
        <is>
          <t>44112</t>
        </is>
      </c>
      <c r="G611" t="inlineStr">
        <is>
          <t>M29113</t>
        </is>
      </c>
      <c r="H611" t="inlineStr">
        <is>
          <t>K4250</t>
        </is>
      </c>
      <c r="I611" t="inlineStr">
        <is>
          <t>K42502EA</t>
        </is>
      </c>
      <c r="J611" t="inlineStr">
        <is>
          <t>CAN,MILITARY - N/A</t>
        </is>
      </c>
      <c r="K611" t="inlineStr">
        <is>
          <t>DP</t>
        </is>
      </c>
      <c r="L611" t="inlineStr">
        <is>
          <t>EA</t>
        </is>
      </c>
      <c r="M611" t="inlineStr"/>
      <c r="N611" t="n">
        <v>0</v>
      </c>
      <c r="O611" t="n">
        <v>2</v>
      </c>
      <c r="P611" t="n">
        <v>2</v>
      </c>
    </row>
    <row r="612">
      <c r="B612" t="n">
        <v>608</v>
      </c>
      <c r="C612" t="inlineStr">
        <is>
          <t>44112</t>
        </is>
      </c>
      <c r="D612" t="inlineStr">
        <is>
          <t>44112</t>
        </is>
      </c>
      <c r="G612" t="inlineStr">
        <is>
          <t>M29113</t>
        </is>
      </c>
      <c r="H612" t="inlineStr">
        <is>
          <t>K5060</t>
        </is>
      </c>
      <c r="I612" t="inlineStr">
        <is>
          <t>K50602TA</t>
        </is>
      </c>
      <c r="J612" t="inlineStr">
        <is>
          <t>WRENCH,IMPACT,PNEUM</t>
        </is>
      </c>
      <c r="K612" t="inlineStr">
        <is>
          <t>IS</t>
        </is>
      </c>
      <c r="L612" t="inlineStr">
        <is>
          <t>EA</t>
        </is>
      </c>
      <c r="M612" t="inlineStr"/>
      <c r="N612" t="n">
        <v>0</v>
      </c>
      <c r="O612" t="n">
        <v>1</v>
      </c>
      <c r="P612" t="n">
        <v>1</v>
      </c>
    </row>
    <row r="613">
      <c r="B613" t="n">
        <v>609</v>
      </c>
      <c r="C613" t="inlineStr">
        <is>
          <t>21451</t>
        </is>
      </c>
      <c r="D613" t="inlineStr">
        <is>
          <t>21451</t>
        </is>
      </c>
      <c r="G613" t="inlineStr">
        <is>
          <t>M29113</t>
        </is>
      </c>
      <c r="H613" t="inlineStr">
        <is>
          <t>M5030</t>
        </is>
      </c>
      <c r="I613" t="inlineStr">
        <is>
          <t>M50302EA</t>
        </is>
      </c>
      <c r="J613" t="inlineStr">
        <is>
          <t>TOWBAR,MOTOR VEHICL - 3428515</t>
        </is>
      </c>
      <c r="K613" t="inlineStr">
        <is>
          <t>IS</t>
        </is>
      </c>
      <c r="L613" t="inlineStr">
        <is>
          <t>EA</t>
        </is>
      </c>
      <c r="M613" t="inlineStr"/>
      <c r="N613" t="n">
        <v>0</v>
      </c>
      <c r="O613" t="n">
        <v>1</v>
      </c>
      <c r="P613" t="n">
        <v>1</v>
      </c>
    </row>
    <row r="614">
      <c r="B614" t="n">
        <v>610</v>
      </c>
      <c r="C614" t="inlineStr">
        <is>
          <t>21710</t>
        </is>
      </c>
      <c r="D614" t="inlineStr">
        <is>
          <t>21710</t>
        </is>
      </c>
      <c r="G614" t="inlineStr">
        <is>
          <t>M29114</t>
        </is>
      </c>
      <c r="H614" t="inlineStr">
        <is>
          <t>A0047</t>
        </is>
      </c>
      <c r="I614" t="inlineStr">
        <is>
          <t>A00477B</t>
        </is>
      </c>
      <c r="J614" t="inlineStr">
        <is>
          <t>SHELTER,EXPANDABLE - 09021A0000</t>
        </is>
      </c>
      <c r="K614" t="inlineStr">
        <is>
          <t>IS</t>
        </is>
      </c>
      <c r="L614" t="inlineStr">
        <is>
          <t>EA</t>
        </is>
      </c>
      <c r="M614" t="inlineStr">
        <is>
          <t>N</t>
        </is>
      </c>
      <c r="N614" t="n">
        <v>0</v>
      </c>
      <c r="O614" t="n">
        <v>1</v>
      </c>
      <c r="P614" t="n">
        <v>1</v>
      </c>
    </row>
    <row r="615">
      <c r="B615" t="n">
        <v>611</v>
      </c>
      <c r="C615" t="inlineStr">
        <is>
          <t>21710</t>
        </is>
      </c>
      <c r="D615" t="inlineStr">
        <is>
          <t>21710</t>
        </is>
      </c>
      <c r="G615" t="inlineStr">
        <is>
          <t>M29114</t>
        </is>
      </c>
      <c r="H615" t="inlineStr">
        <is>
          <t>A0097</t>
        </is>
      </c>
      <c r="I615" t="inlineStr">
        <is>
          <t>A00977G</t>
        </is>
      </c>
      <c r="J615" t="inlineStr">
        <is>
          <t>RADIO SET - AN/VRC-110</t>
        </is>
      </c>
      <c r="K615" t="inlineStr">
        <is>
          <t>DP</t>
        </is>
      </c>
      <c r="L615" t="inlineStr">
        <is>
          <t>EA</t>
        </is>
      </c>
      <c r="M615" t="inlineStr">
        <is>
          <t>N</t>
        </is>
      </c>
      <c r="N615" t="n">
        <v>0</v>
      </c>
      <c r="O615" t="n">
        <v>0</v>
      </c>
      <c r="P615" t="n">
        <v>0</v>
      </c>
    </row>
    <row r="616">
      <c r="B616" t="n">
        <v>612</v>
      </c>
      <c r="C616" t="inlineStr">
        <is>
          <t>21710</t>
        </is>
      </c>
      <c r="D616" t="inlineStr">
        <is>
          <t>21710</t>
        </is>
      </c>
      <c r="G616" t="inlineStr">
        <is>
          <t>M29114</t>
        </is>
      </c>
      <c r="H616" t="inlineStr">
        <is>
          <t>A0135</t>
        </is>
      </c>
      <c r="I616" t="inlineStr">
        <is>
          <t>A01357G</t>
        </is>
      </c>
      <c r="J616" t="inlineStr">
        <is>
          <t>RADIO SET - AN/VRC-112</t>
        </is>
      </c>
      <c r="K616" t="inlineStr">
        <is>
          <t>DP</t>
        </is>
      </c>
      <c r="L616" t="inlineStr">
        <is>
          <t>EA</t>
        </is>
      </c>
      <c r="M616" t="inlineStr">
        <is>
          <t>N</t>
        </is>
      </c>
      <c r="N616" t="n">
        <v>0</v>
      </c>
      <c r="O616" t="n">
        <v>0</v>
      </c>
      <c r="P616" t="n">
        <v>0</v>
      </c>
    </row>
    <row r="617">
      <c r="B617" t="n">
        <v>613</v>
      </c>
      <c r="C617" t="inlineStr">
        <is>
          <t>21710</t>
        </is>
      </c>
      <c r="D617" t="inlineStr">
        <is>
          <t>21710</t>
        </is>
      </c>
      <c r="G617" t="inlineStr">
        <is>
          <t>M29114</t>
        </is>
      </c>
      <c r="H617" t="inlineStr">
        <is>
          <t>A0198</t>
        </is>
      </c>
      <c r="I617" t="inlineStr">
        <is>
          <t>A01987G</t>
        </is>
      </c>
      <c r="J617" t="inlineStr">
        <is>
          <t>RADIO SET - 12200-1823-01</t>
        </is>
      </c>
      <c r="K617" t="inlineStr">
        <is>
          <t>IS</t>
        </is>
      </c>
      <c r="L617" t="inlineStr">
        <is>
          <t>EA</t>
        </is>
      </c>
      <c r="M617" t="inlineStr">
        <is>
          <t>N</t>
        </is>
      </c>
      <c r="N617" t="n">
        <v>0</v>
      </c>
      <c r="O617" t="n">
        <v>2</v>
      </c>
      <c r="P617" t="n">
        <v>2</v>
      </c>
    </row>
    <row r="618">
      <c r="B618" t="n">
        <v>614</v>
      </c>
      <c r="C618" t="inlineStr">
        <is>
          <t>21710</t>
        </is>
      </c>
      <c r="D618" t="inlineStr">
        <is>
          <t>21710</t>
        </is>
      </c>
      <c r="G618" t="inlineStr">
        <is>
          <t>M29114</t>
        </is>
      </c>
      <c r="H618" t="inlineStr">
        <is>
          <t>A0331</t>
        </is>
      </c>
      <c r="I618" t="inlineStr">
        <is>
          <t>A03317G</t>
        </is>
      </c>
      <c r="J618" t="inlineStr">
        <is>
          <t>RADIO SET - AN/VRC-113(C)</t>
        </is>
      </c>
      <c r="K618" t="inlineStr">
        <is>
          <t>IS</t>
        </is>
      </c>
      <c r="L618" t="inlineStr">
        <is>
          <t>EA</t>
        </is>
      </c>
      <c r="M618" t="inlineStr">
        <is>
          <t>N</t>
        </is>
      </c>
      <c r="N618" t="n">
        <v>0</v>
      </c>
      <c r="O618" t="n">
        <v>0</v>
      </c>
      <c r="P618" t="n">
        <v>0</v>
      </c>
    </row>
    <row r="619">
      <c r="B619" t="n">
        <v>615</v>
      </c>
      <c r="C619" t="inlineStr">
        <is>
          <t>21710</t>
        </is>
      </c>
      <c r="D619" t="inlineStr">
        <is>
          <t>21710</t>
        </is>
      </c>
      <c r="G619" t="inlineStr">
        <is>
          <t>M29114</t>
        </is>
      </c>
      <c r="H619" t="inlineStr">
        <is>
          <t>A1260</t>
        </is>
      </c>
      <c r="I619" t="inlineStr">
        <is>
          <t>A12607G</t>
        </is>
      </c>
      <c r="J619" t="inlineStr">
        <is>
          <t>NAVIGATION SET,SATE - AN/PSN-13(A)</t>
        </is>
      </c>
      <c r="K619" t="inlineStr">
        <is>
          <t>IS</t>
        </is>
      </c>
      <c r="L619" t="inlineStr">
        <is>
          <t>EA</t>
        </is>
      </c>
      <c r="M619" t="inlineStr">
        <is>
          <t>N</t>
        </is>
      </c>
      <c r="N619" t="n">
        <v>0</v>
      </c>
      <c r="O619" t="n">
        <v>8</v>
      </c>
      <c r="P619" t="n">
        <v>8</v>
      </c>
    </row>
    <row r="620">
      <c r="B620" t="n">
        <v>616</v>
      </c>
      <c r="C620" t="inlineStr">
        <is>
          <t>21710</t>
        </is>
      </c>
      <c r="D620" t="inlineStr">
        <is>
          <t>21710</t>
        </is>
      </c>
      <c r="G620" t="inlineStr">
        <is>
          <t>M29114</t>
        </is>
      </c>
      <c r="H620" t="inlineStr">
        <is>
          <t>A2042</t>
        </is>
      </c>
      <c r="I620" t="inlineStr">
        <is>
          <t>A20427G</t>
        </is>
      </c>
      <c r="J620" t="inlineStr">
        <is>
          <t>RADIO SET - AN/PRC-150 (C)</t>
        </is>
      </c>
      <c r="K620" t="inlineStr">
        <is>
          <t>DP</t>
        </is>
      </c>
      <c r="L620" t="inlineStr">
        <is>
          <t>EA</t>
        </is>
      </c>
      <c r="M620" t="inlineStr">
        <is>
          <t>N</t>
        </is>
      </c>
      <c r="N620" t="n">
        <v>0</v>
      </c>
      <c r="O620" t="n">
        <v>0</v>
      </c>
      <c r="P620" t="n">
        <v>0</v>
      </c>
    </row>
    <row r="621">
      <c r="B621" t="n">
        <v>617</v>
      </c>
      <c r="C621" t="inlineStr">
        <is>
          <t>21710</t>
        </is>
      </c>
      <c r="D621" t="inlineStr">
        <is>
          <t>21710</t>
        </is>
      </c>
      <c r="G621" t="inlineStr">
        <is>
          <t>M29114</t>
        </is>
      </c>
      <c r="H621" t="inlineStr">
        <is>
          <t>A2043</t>
        </is>
      </c>
      <c r="I621" t="inlineStr">
        <is>
          <t>A20437G</t>
        </is>
      </c>
      <c r="J621" t="inlineStr">
        <is>
          <t>MBITR URBAN VERSION - AN/PRC-148(V)2</t>
        </is>
      </c>
      <c r="K621" t="inlineStr">
        <is>
          <t>DP</t>
        </is>
      </c>
      <c r="L621" t="inlineStr"/>
      <c r="M621" t="inlineStr">
        <is>
          <t>N</t>
        </is>
      </c>
      <c r="N621" t="n">
        <v>0</v>
      </c>
      <c r="O621" t="n">
        <v>0</v>
      </c>
      <c r="P621" t="n">
        <v>0</v>
      </c>
    </row>
    <row r="622">
      <c r="B622" t="n">
        <v>618</v>
      </c>
      <c r="C622" t="inlineStr">
        <is>
          <t>21710</t>
        </is>
      </c>
      <c r="D622" t="inlineStr">
        <is>
          <t>21710</t>
        </is>
      </c>
      <c r="G622" t="inlineStr">
        <is>
          <t>M29114</t>
        </is>
      </c>
      <c r="H622" t="inlineStr">
        <is>
          <t>A2068</t>
        </is>
      </c>
      <c r="I622" t="inlineStr">
        <is>
          <t>A20687G</t>
        </is>
      </c>
      <c r="J622" t="inlineStr">
        <is>
          <t>RADIO SET - AN/PRC-117F(V)1C</t>
        </is>
      </c>
      <c r="K622" t="inlineStr">
        <is>
          <t>DP</t>
        </is>
      </c>
      <c r="L622" t="inlineStr">
        <is>
          <t>EA</t>
        </is>
      </c>
      <c r="M622" t="inlineStr">
        <is>
          <t>N</t>
        </is>
      </c>
      <c r="N622" t="n">
        <v>0</v>
      </c>
      <c r="O622" t="n">
        <v>2</v>
      </c>
      <c r="P622" t="n">
        <v>2</v>
      </c>
    </row>
    <row r="623">
      <c r="B623" t="n">
        <v>619</v>
      </c>
      <c r="C623" t="inlineStr">
        <is>
          <t>21710</t>
        </is>
      </c>
      <c r="D623" t="inlineStr">
        <is>
          <t>21710</t>
        </is>
      </c>
      <c r="G623" t="inlineStr">
        <is>
          <t>M29114</t>
        </is>
      </c>
      <c r="H623" t="inlineStr">
        <is>
          <t>A2335</t>
        </is>
      </c>
      <c r="I623" t="inlineStr">
        <is>
          <t>A23352B</t>
        </is>
      </c>
      <c r="J623" t="inlineStr">
        <is>
          <t>SHELTER,NONEXPANDAB - 82A5049B0000</t>
        </is>
      </c>
      <c r="K623" t="inlineStr">
        <is>
          <t>IS</t>
        </is>
      </c>
      <c r="L623" t="inlineStr">
        <is>
          <t>EA</t>
        </is>
      </c>
      <c r="M623" t="inlineStr">
        <is>
          <t>N</t>
        </is>
      </c>
      <c r="N623" t="n">
        <v>0</v>
      </c>
      <c r="O623" t="n">
        <v>1</v>
      </c>
      <c r="P623" t="n">
        <v>1</v>
      </c>
    </row>
    <row r="624">
      <c r="B624" t="n">
        <v>620</v>
      </c>
      <c r="C624" t="inlineStr">
        <is>
          <t>21710</t>
        </is>
      </c>
      <c r="D624" t="inlineStr">
        <is>
          <t>21710</t>
        </is>
      </c>
      <c r="G624" t="inlineStr">
        <is>
          <t>M29114</t>
        </is>
      </c>
      <c r="H624" t="inlineStr">
        <is>
          <t>A2336</t>
        </is>
      </c>
      <c r="I624" t="inlineStr">
        <is>
          <t>A23362B</t>
        </is>
      </c>
      <c r="J624" t="inlineStr">
        <is>
          <t>SHELTER,NONEXPANDAB - 82A5048B0000</t>
        </is>
      </c>
      <c r="K624" t="inlineStr">
        <is>
          <t>IS</t>
        </is>
      </c>
      <c r="L624" t="inlineStr">
        <is>
          <t>EA</t>
        </is>
      </c>
      <c r="M624" t="inlineStr">
        <is>
          <t>N</t>
        </is>
      </c>
      <c r="N624" t="n">
        <v>0</v>
      </c>
      <c r="O624" t="n">
        <v>1</v>
      </c>
      <c r="P624" t="n">
        <v>1</v>
      </c>
    </row>
    <row r="625">
      <c r="B625" t="n">
        <v>621</v>
      </c>
      <c r="C625" t="inlineStr">
        <is>
          <t>14326</t>
        </is>
      </c>
      <c r="D625" t="inlineStr">
        <is>
          <t>14326</t>
        </is>
      </c>
      <c r="G625" t="inlineStr">
        <is>
          <t>M29114</t>
        </is>
      </c>
      <c r="H625" t="inlineStr">
        <is>
          <t>A7000</t>
        </is>
      </c>
      <c r="I625" t="inlineStr">
        <is>
          <t>A70007G</t>
        </is>
      </c>
      <c r="J625" t="inlineStr">
        <is>
          <t>MICROWAVE ANALYZER - N9951A</t>
        </is>
      </c>
      <c r="K625" t="inlineStr">
        <is>
          <t>IS</t>
        </is>
      </c>
      <c r="L625" t="inlineStr">
        <is>
          <t>EA</t>
        </is>
      </c>
      <c r="M625" t="inlineStr">
        <is>
          <t>N</t>
        </is>
      </c>
      <c r="N625" t="n">
        <v>0</v>
      </c>
      <c r="O625" t="n">
        <v>1</v>
      </c>
      <c r="P625" t="n">
        <v>1</v>
      </c>
    </row>
    <row r="626">
      <c r="B626" t="n">
        <v>622</v>
      </c>
      <c r="C626" t="inlineStr">
        <is>
          <t>14326</t>
        </is>
      </c>
      <c r="D626" t="inlineStr">
        <is>
          <t>14326</t>
        </is>
      </c>
      <c r="G626" t="inlineStr">
        <is>
          <t>M29114</t>
        </is>
      </c>
      <c r="H626" t="inlineStr">
        <is>
          <t>A7002</t>
        </is>
      </c>
      <c r="I626" t="inlineStr">
        <is>
          <t>A70027G</t>
        </is>
      </c>
      <c r="J626" t="inlineStr">
        <is>
          <t>ANALYZER,SPECTRUM - FSH20</t>
        </is>
      </c>
      <c r="K626" t="inlineStr">
        <is>
          <t>IS</t>
        </is>
      </c>
      <c r="L626" t="inlineStr">
        <is>
          <t>EA</t>
        </is>
      </c>
      <c r="M626" t="inlineStr">
        <is>
          <t>N</t>
        </is>
      </c>
      <c r="N626" t="n">
        <v>0</v>
      </c>
      <c r="O626" t="n">
        <v>2</v>
      </c>
      <c r="P626" t="n">
        <v>2</v>
      </c>
    </row>
    <row r="627">
      <c r="B627" t="n">
        <v>623</v>
      </c>
      <c r="C627" t="inlineStr">
        <is>
          <t>14326</t>
        </is>
      </c>
      <c r="D627" t="inlineStr">
        <is>
          <t>14326</t>
        </is>
      </c>
      <c r="G627" t="inlineStr">
        <is>
          <t>M29114</t>
        </is>
      </c>
      <c r="H627" t="inlineStr">
        <is>
          <t>A7005</t>
        </is>
      </c>
      <c r="I627" t="inlineStr">
        <is>
          <t>A70057G</t>
        </is>
      </c>
      <c r="J627" t="inlineStr">
        <is>
          <t>ANALYZER,SPECTRUM - FSV40-N</t>
        </is>
      </c>
      <c r="K627" t="inlineStr">
        <is>
          <t>IS</t>
        </is>
      </c>
      <c r="L627" t="inlineStr">
        <is>
          <t>EA</t>
        </is>
      </c>
      <c r="M627" t="inlineStr">
        <is>
          <t>N</t>
        </is>
      </c>
      <c r="N627" t="n">
        <v>0</v>
      </c>
      <c r="O627" t="n">
        <v>2</v>
      </c>
      <c r="P627" t="n">
        <v>2</v>
      </c>
    </row>
    <row r="628">
      <c r="B628" t="n">
        <v>624</v>
      </c>
      <c r="C628" t="inlineStr">
        <is>
          <t>14326</t>
        </is>
      </c>
      <c r="D628" t="inlineStr">
        <is>
          <t>14326</t>
        </is>
      </c>
      <c r="G628" t="inlineStr">
        <is>
          <t>M29114</t>
        </is>
      </c>
      <c r="H628" t="inlineStr">
        <is>
          <t>A7046</t>
        </is>
      </c>
      <c r="I628" t="inlineStr">
        <is>
          <t>A70467G</t>
        </is>
      </c>
      <c r="J628" t="inlineStr">
        <is>
          <t>GENERATOR,SWEEP - E8257N</t>
        </is>
      </c>
      <c r="K628" t="inlineStr">
        <is>
          <t>IS</t>
        </is>
      </c>
      <c r="L628" t="inlineStr">
        <is>
          <t>EA</t>
        </is>
      </c>
      <c r="M628" t="inlineStr">
        <is>
          <t>N</t>
        </is>
      </c>
      <c r="N628" t="n">
        <v>0</v>
      </c>
      <c r="O628" t="n">
        <v>2</v>
      </c>
      <c r="P628" t="n">
        <v>2</v>
      </c>
    </row>
    <row r="629">
      <c r="B629" t="n">
        <v>625</v>
      </c>
      <c r="C629" t="inlineStr">
        <is>
          <t>14326</t>
        </is>
      </c>
      <c r="D629" t="inlineStr">
        <is>
          <t>14326</t>
        </is>
      </c>
      <c r="G629" t="inlineStr">
        <is>
          <t>M29114</t>
        </is>
      </c>
      <c r="H629" t="inlineStr">
        <is>
          <t>A7051</t>
        </is>
      </c>
      <c r="I629" t="inlineStr">
        <is>
          <t>A70517G</t>
        </is>
      </c>
      <c r="J629" t="inlineStr">
        <is>
          <t>METER,POWER FACTOR - E4418B-E23</t>
        </is>
      </c>
      <c r="K629" t="inlineStr">
        <is>
          <t>DP</t>
        </is>
      </c>
      <c r="L629" t="inlineStr">
        <is>
          <t>EA</t>
        </is>
      </c>
      <c r="M629" t="inlineStr">
        <is>
          <t>N</t>
        </is>
      </c>
      <c r="N629" t="n">
        <v>0</v>
      </c>
      <c r="O629" t="n">
        <v>2</v>
      </c>
      <c r="P629" t="n">
        <v>2</v>
      </c>
    </row>
    <row r="630">
      <c r="B630" t="n">
        <v>626</v>
      </c>
      <c r="C630" t="inlineStr">
        <is>
          <t>14326</t>
        </is>
      </c>
      <c r="D630" t="inlineStr">
        <is>
          <t>14326</t>
        </is>
      </c>
      <c r="G630" t="inlineStr">
        <is>
          <t>M29114</t>
        </is>
      </c>
      <c r="H630" t="inlineStr">
        <is>
          <t>A7061</t>
        </is>
      </c>
      <c r="I630" t="inlineStr">
        <is>
          <t>A70617G</t>
        </is>
      </c>
      <c r="J630" t="inlineStr">
        <is>
          <t>OSCILLOSCOPE - FLK199C</t>
        </is>
      </c>
      <c r="K630" t="inlineStr">
        <is>
          <t>IS</t>
        </is>
      </c>
      <c r="L630" t="inlineStr">
        <is>
          <t>EA</t>
        </is>
      </c>
      <c r="M630" t="inlineStr">
        <is>
          <t>N</t>
        </is>
      </c>
      <c r="N630" t="n">
        <v>0</v>
      </c>
      <c r="O630" t="n">
        <v>2</v>
      </c>
      <c r="P630" t="n">
        <v>2</v>
      </c>
    </row>
    <row r="631">
      <c r="B631" t="n">
        <v>627</v>
      </c>
      <c r="C631" t="inlineStr">
        <is>
          <t>14326</t>
        </is>
      </c>
      <c r="D631" t="inlineStr">
        <is>
          <t>14326</t>
        </is>
      </c>
      <c r="G631" t="inlineStr">
        <is>
          <t>M29114</t>
        </is>
      </c>
      <c r="H631" t="inlineStr">
        <is>
          <t>A7080</t>
        </is>
      </c>
      <c r="I631" t="inlineStr">
        <is>
          <t>A70807G</t>
        </is>
      </c>
      <c r="J631" t="inlineStr">
        <is>
          <t>TEST SET,RADIO - 3515N</t>
        </is>
      </c>
      <c r="K631" t="inlineStr">
        <is>
          <t>IS</t>
        </is>
      </c>
      <c r="L631" t="inlineStr">
        <is>
          <t>EA</t>
        </is>
      </c>
      <c r="M631" t="inlineStr">
        <is>
          <t>N</t>
        </is>
      </c>
      <c r="N631" t="n">
        <v>0</v>
      </c>
      <c r="O631" t="n">
        <v>1</v>
      </c>
      <c r="P631" t="n">
        <v>1</v>
      </c>
    </row>
    <row r="632">
      <c r="B632" t="n">
        <v>628</v>
      </c>
      <c r="C632" t="inlineStr">
        <is>
          <t>14326</t>
        </is>
      </c>
      <c r="D632" t="inlineStr">
        <is>
          <t>14326</t>
        </is>
      </c>
      <c r="G632" t="inlineStr">
        <is>
          <t>M29114</t>
        </is>
      </c>
      <c r="H632" t="inlineStr">
        <is>
          <t>A7501</t>
        </is>
      </c>
      <c r="I632" t="inlineStr">
        <is>
          <t>A75017G</t>
        </is>
      </c>
      <c r="J632" t="inlineStr">
        <is>
          <t>TEST STATION - AN/USM-726(V)2</t>
        </is>
      </c>
      <c r="K632" t="inlineStr">
        <is>
          <t>IS</t>
        </is>
      </c>
      <c r="L632" t="inlineStr">
        <is>
          <t>EA</t>
        </is>
      </c>
      <c r="M632" t="inlineStr">
        <is>
          <t>N</t>
        </is>
      </c>
      <c r="N632" t="n">
        <v>0</v>
      </c>
      <c r="O632" t="n">
        <v>1</v>
      </c>
      <c r="P632" t="n">
        <v>1</v>
      </c>
    </row>
    <row r="633">
      <c r="B633" t="n">
        <v>629</v>
      </c>
      <c r="C633" t="inlineStr">
        <is>
          <t>14326</t>
        </is>
      </c>
      <c r="D633" t="inlineStr">
        <is>
          <t>14326</t>
        </is>
      </c>
      <c r="G633" t="inlineStr">
        <is>
          <t>M29114</t>
        </is>
      </c>
      <c r="H633" t="inlineStr">
        <is>
          <t>A7504</t>
        </is>
      </c>
      <c r="I633" t="inlineStr">
        <is>
          <t>A75047G</t>
        </is>
      </c>
      <c r="J633" t="inlineStr">
        <is>
          <t>MAINTENANCE KIT,ELE - GETAC B360-GEN2</t>
        </is>
      </c>
      <c r="K633" t="inlineStr">
        <is>
          <t>IS</t>
        </is>
      </c>
      <c r="L633" t="inlineStr">
        <is>
          <t>EA</t>
        </is>
      </c>
      <c r="M633" t="inlineStr">
        <is>
          <t>N</t>
        </is>
      </c>
      <c r="N633" t="n">
        <v>0</v>
      </c>
      <c r="O633" t="n">
        <v>4</v>
      </c>
      <c r="P633" t="n">
        <v>4</v>
      </c>
    </row>
    <row r="634">
      <c r="B634" t="n">
        <v>630</v>
      </c>
      <c r="C634" t="inlineStr">
        <is>
          <t>14326</t>
        </is>
      </c>
      <c r="D634" t="inlineStr">
        <is>
          <t>14326</t>
        </is>
      </c>
      <c r="G634" t="inlineStr">
        <is>
          <t>M29114</t>
        </is>
      </c>
      <c r="H634" t="inlineStr">
        <is>
          <t>A7505</t>
        </is>
      </c>
      <c r="I634" t="inlineStr">
        <is>
          <t>A75057H</t>
        </is>
      </c>
      <c r="J634" t="inlineStr">
        <is>
          <t>TEST SET,RADIO</t>
        </is>
      </c>
      <c r="K634" t="inlineStr">
        <is>
          <t>IS</t>
        </is>
      </c>
      <c r="L634" t="inlineStr">
        <is>
          <t>KT</t>
        </is>
      </c>
      <c r="M634" t="inlineStr">
        <is>
          <t>N</t>
        </is>
      </c>
      <c r="N634" t="n">
        <v>0</v>
      </c>
      <c r="O634" t="n">
        <v>1</v>
      </c>
      <c r="P634" t="n">
        <v>1</v>
      </c>
    </row>
    <row r="635">
      <c r="B635" t="n">
        <v>631</v>
      </c>
      <c r="C635" t="inlineStr">
        <is>
          <t>14326</t>
        </is>
      </c>
      <c r="D635" t="inlineStr">
        <is>
          <t>14326</t>
        </is>
      </c>
      <c r="G635" t="inlineStr">
        <is>
          <t>M29114</t>
        </is>
      </c>
      <c r="H635" t="inlineStr">
        <is>
          <t>A7517</t>
        </is>
      </c>
      <c r="I635" t="inlineStr">
        <is>
          <t>A75177G</t>
        </is>
      </c>
      <c r="J635" t="inlineStr">
        <is>
          <t>TEST SET,RADIO - AN/USM-718A</t>
        </is>
      </c>
      <c r="K635" t="inlineStr">
        <is>
          <t>IS</t>
        </is>
      </c>
      <c r="L635" t="inlineStr">
        <is>
          <t>EA</t>
        </is>
      </c>
      <c r="M635" t="inlineStr">
        <is>
          <t>N</t>
        </is>
      </c>
      <c r="N635" t="n">
        <v>0</v>
      </c>
      <c r="O635" t="n">
        <v>2</v>
      </c>
      <c r="P635" t="n">
        <v>2</v>
      </c>
    </row>
    <row r="636">
      <c r="B636" t="n">
        <v>632</v>
      </c>
      <c r="C636" t="inlineStr">
        <is>
          <t>14326</t>
        </is>
      </c>
      <c r="D636" t="inlineStr">
        <is>
          <t>14326</t>
        </is>
      </c>
      <c r="G636" t="inlineStr">
        <is>
          <t>M29114</t>
        </is>
      </c>
      <c r="H636" t="inlineStr">
        <is>
          <t>A7524</t>
        </is>
      </c>
      <c r="I636" t="inlineStr">
        <is>
          <t>A75247G</t>
        </is>
      </c>
      <c r="J636" t="inlineStr">
        <is>
          <t>PROGRAM SET,APPLICA - 11020A0000</t>
        </is>
      </c>
      <c r="K636" t="inlineStr">
        <is>
          <t>IS</t>
        </is>
      </c>
      <c r="L636" t="inlineStr">
        <is>
          <t>EA</t>
        </is>
      </c>
      <c r="M636" t="inlineStr">
        <is>
          <t>N</t>
        </is>
      </c>
      <c r="N636" t="n">
        <v>0</v>
      </c>
      <c r="O636" t="n">
        <v>2</v>
      </c>
      <c r="P636" t="n">
        <v>2</v>
      </c>
    </row>
    <row r="637">
      <c r="B637" t="n">
        <v>633</v>
      </c>
      <c r="C637" t="inlineStr">
        <is>
          <t>14326</t>
        </is>
      </c>
      <c r="D637" t="inlineStr">
        <is>
          <t>14326</t>
        </is>
      </c>
      <c r="G637" t="inlineStr">
        <is>
          <t>M29114</t>
        </is>
      </c>
      <c r="H637" t="inlineStr">
        <is>
          <t>A7596</t>
        </is>
      </c>
      <c r="I637" t="inlineStr">
        <is>
          <t>A75967G</t>
        </is>
      </c>
      <c r="J637" t="inlineStr">
        <is>
          <t>TEST STATION,ELECTR - AN/USM-717(V)2</t>
        </is>
      </c>
      <c r="K637" t="inlineStr">
        <is>
          <t>IS</t>
        </is>
      </c>
      <c r="L637" t="inlineStr">
        <is>
          <t>EA</t>
        </is>
      </c>
      <c r="M637" t="inlineStr">
        <is>
          <t>N</t>
        </is>
      </c>
      <c r="N637" t="n">
        <v>0</v>
      </c>
      <c r="O637" t="n">
        <v>1</v>
      </c>
      <c r="P637" t="n">
        <v>1</v>
      </c>
    </row>
    <row r="638">
      <c r="B638" t="n">
        <v>634</v>
      </c>
      <c r="C638" t="inlineStr">
        <is>
          <t>14326</t>
        </is>
      </c>
      <c r="D638" t="inlineStr">
        <is>
          <t>14326</t>
        </is>
      </c>
      <c r="G638" t="inlineStr">
        <is>
          <t>M29114</t>
        </is>
      </c>
      <c r="H638" t="inlineStr">
        <is>
          <t>A7705</t>
        </is>
      </c>
      <c r="I638" t="inlineStr">
        <is>
          <t>A77057G</t>
        </is>
      </c>
      <c r="J638" t="inlineStr">
        <is>
          <t>POWER SUPPLY 18-30V - PP8474/G</t>
        </is>
      </c>
      <c r="K638" t="inlineStr">
        <is>
          <t>IS</t>
        </is>
      </c>
      <c r="L638" t="inlineStr">
        <is>
          <t>EA</t>
        </is>
      </c>
      <c r="M638" t="inlineStr">
        <is>
          <t>N</t>
        </is>
      </c>
      <c r="N638" t="n">
        <v>0</v>
      </c>
      <c r="O638" t="n">
        <v>2</v>
      </c>
      <c r="P638" t="n">
        <v>2</v>
      </c>
    </row>
    <row r="639">
      <c r="B639" t="n">
        <v>635</v>
      </c>
      <c r="C639" t="inlineStr">
        <is>
          <t>14326</t>
        </is>
      </c>
      <c r="D639" t="inlineStr">
        <is>
          <t>14326</t>
        </is>
      </c>
      <c r="G639" t="inlineStr">
        <is>
          <t>M29114</t>
        </is>
      </c>
      <c r="H639" t="inlineStr">
        <is>
          <t>A7706</t>
        </is>
      </c>
      <c r="I639" t="inlineStr">
        <is>
          <t>A77067G</t>
        </is>
      </c>
      <c r="J639" t="inlineStr">
        <is>
          <t>POWER SUPPLY - XHR40-25M106</t>
        </is>
      </c>
      <c r="K639" t="inlineStr">
        <is>
          <t>IS</t>
        </is>
      </c>
      <c r="L639" t="inlineStr">
        <is>
          <t>EA</t>
        </is>
      </c>
      <c r="M639" t="inlineStr">
        <is>
          <t>N</t>
        </is>
      </c>
      <c r="N639" t="n">
        <v>0</v>
      </c>
      <c r="O639" t="n">
        <v>5</v>
      </c>
      <c r="P639" t="n">
        <v>5</v>
      </c>
    </row>
    <row r="640">
      <c r="B640" t="n">
        <v>636</v>
      </c>
      <c r="C640" t="inlineStr">
        <is>
          <t>21710</t>
        </is>
      </c>
      <c r="D640" t="inlineStr">
        <is>
          <t>21710</t>
        </is>
      </c>
      <c r="G640" t="inlineStr">
        <is>
          <t>M29114</t>
        </is>
      </c>
      <c r="H640" t="inlineStr">
        <is>
          <t>A7902</t>
        </is>
      </c>
      <c r="I640" t="inlineStr">
        <is>
          <t>A79022E</t>
        </is>
      </c>
      <c r="J640" t="inlineStr">
        <is>
          <t>TOOL KIT,ELECTRONIC - TK-2800</t>
        </is>
      </c>
      <c r="K640" t="inlineStr">
        <is>
          <t>IS</t>
        </is>
      </c>
      <c r="L640" t="inlineStr">
        <is>
          <t>EA</t>
        </is>
      </c>
      <c r="M640" t="inlineStr">
        <is>
          <t>N</t>
        </is>
      </c>
      <c r="N640" t="n">
        <v>0</v>
      </c>
      <c r="O640" t="n">
        <v>4</v>
      </c>
      <c r="P640" t="n">
        <v>4</v>
      </c>
    </row>
    <row r="641">
      <c r="B641" t="n">
        <v>637</v>
      </c>
      <c r="C641" t="inlineStr">
        <is>
          <t>14326</t>
        </is>
      </c>
      <c r="D641" t="inlineStr">
        <is>
          <t>14326</t>
        </is>
      </c>
      <c r="G641" t="inlineStr">
        <is>
          <t>M29114</t>
        </is>
      </c>
      <c r="H641" t="inlineStr">
        <is>
          <t>A7906</t>
        </is>
      </c>
      <c r="I641" t="inlineStr">
        <is>
          <t>A79067G</t>
        </is>
      </c>
      <c r="J641" t="inlineStr">
        <is>
          <t>TOOL KIT,ELECTRONIC - TK-8641</t>
        </is>
      </c>
      <c r="K641" t="inlineStr">
        <is>
          <t>IS</t>
        </is>
      </c>
      <c r="L641" t="inlineStr">
        <is>
          <t>KT</t>
        </is>
      </c>
      <c r="M641" t="inlineStr">
        <is>
          <t>N</t>
        </is>
      </c>
      <c r="N641" t="n">
        <v>0</v>
      </c>
      <c r="O641" t="n">
        <v>1</v>
      </c>
      <c r="P641" t="n">
        <v>1</v>
      </c>
    </row>
    <row r="642">
      <c r="B642" t="n">
        <v>638</v>
      </c>
      <c r="C642" t="inlineStr">
        <is>
          <t>14326</t>
        </is>
      </c>
      <c r="D642" t="inlineStr">
        <is>
          <t>14326</t>
        </is>
      </c>
      <c r="G642" t="inlineStr">
        <is>
          <t>M29114</t>
        </is>
      </c>
      <c r="H642" t="inlineStr">
        <is>
          <t>A7955</t>
        </is>
      </c>
      <c r="I642" t="inlineStr">
        <is>
          <t>A79557G</t>
        </is>
      </c>
      <c r="J642" t="inlineStr">
        <is>
          <t>MAINTENANCE KIT,ELE - MK-2663/U (V4)</t>
        </is>
      </c>
      <c r="K642" t="inlineStr">
        <is>
          <t>IS</t>
        </is>
      </c>
      <c r="L642" t="inlineStr">
        <is>
          <t>EA</t>
        </is>
      </c>
      <c r="M642" t="inlineStr">
        <is>
          <t>N</t>
        </is>
      </c>
      <c r="N642" t="n">
        <v>0</v>
      </c>
      <c r="O642" t="n">
        <v>1</v>
      </c>
      <c r="P642" t="n">
        <v>1</v>
      </c>
    </row>
    <row r="643">
      <c r="B643" t="n">
        <v>639</v>
      </c>
      <c r="C643" t="inlineStr">
        <is>
          <t>14345</t>
        </is>
      </c>
      <c r="D643" t="inlineStr">
        <is>
          <t>14345</t>
        </is>
      </c>
      <c r="G643" t="inlineStr">
        <is>
          <t>M29114</t>
        </is>
      </c>
      <c r="H643" t="inlineStr">
        <is>
          <t>A8023</t>
        </is>
      </c>
      <c r="I643" t="inlineStr">
        <is>
          <t>A80237G</t>
        </is>
      </c>
      <c r="J643" t="inlineStr">
        <is>
          <t>TRANSFER UNIT,CRYPT - AN/PYQ-10</t>
        </is>
      </c>
      <c r="K643" t="inlineStr">
        <is>
          <t>IS</t>
        </is>
      </c>
      <c r="L643" t="inlineStr">
        <is>
          <t>EA</t>
        </is>
      </c>
      <c r="M643" t="inlineStr">
        <is>
          <t>N</t>
        </is>
      </c>
      <c r="N643" t="n">
        <v>0</v>
      </c>
      <c r="O643" t="n">
        <v>10</v>
      </c>
      <c r="P643" t="n">
        <v>10</v>
      </c>
    </row>
    <row r="644">
      <c r="B644" t="n">
        <v>640</v>
      </c>
      <c r="C644" t="inlineStr">
        <is>
          <t>61072</t>
        </is>
      </c>
      <c r="D644" t="inlineStr">
        <is>
          <t>61072</t>
        </is>
      </c>
      <c r="G644" t="inlineStr">
        <is>
          <t>M29114</t>
        </is>
      </c>
      <c r="H644" t="inlineStr">
        <is>
          <t>A9060</t>
        </is>
      </c>
      <c r="I644" t="inlineStr">
        <is>
          <t>A90607G</t>
        </is>
      </c>
      <c r="J644" t="inlineStr">
        <is>
          <t>COMPUTER SYSTEM,DIG -  210-BCFT</t>
        </is>
      </c>
      <c r="K644" t="inlineStr">
        <is>
          <t>IS</t>
        </is>
      </c>
      <c r="L644" t="inlineStr">
        <is>
          <t>EA</t>
        </is>
      </c>
      <c r="M644" t="inlineStr">
        <is>
          <t>N</t>
        </is>
      </c>
      <c r="N644" t="n">
        <v>0</v>
      </c>
      <c r="O644" t="n">
        <v>1</v>
      </c>
      <c r="P644" t="n">
        <v>1</v>
      </c>
    </row>
    <row r="645">
      <c r="B645" t="n">
        <v>641</v>
      </c>
      <c r="C645" t="inlineStr">
        <is>
          <t>61072</t>
        </is>
      </c>
      <c r="D645" t="inlineStr">
        <is>
          <t>61072</t>
        </is>
      </c>
      <c r="G645" t="inlineStr">
        <is>
          <t>M29114</t>
        </is>
      </c>
      <c r="H645" t="inlineStr">
        <is>
          <t>A9100</t>
        </is>
      </c>
      <c r="I645" t="inlineStr">
        <is>
          <t>A91007G</t>
        </is>
      </c>
      <c r="J645" t="inlineStr">
        <is>
          <t>COMPUTER SYSTEM,DIG - HP ELITEBOOK 645</t>
        </is>
      </c>
      <c r="K645" t="inlineStr">
        <is>
          <t>IS</t>
        </is>
      </c>
      <c r="L645" t="inlineStr">
        <is>
          <t>EA</t>
        </is>
      </c>
      <c r="M645" t="inlineStr">
        <is>
          <t>N</t>
        </is>
      </c>
      <c r="N645" t="n">
        <v>0</v>
      </c>
      <c r="O645" t="n">
        <v>10</v>
      </c>
      <c r="P645" t="n">
        <v>10</v>
      </c>
    </row>
    <row r="646">
      <c r="B646" t="n">
        <v>642</v>
      </c>
      <c r="C646" t="inlineStr">
        <is>
          <t>21710</t>
        </is>
      </c>
      <c r="D646" t="inlineStr">
        <is>
          <t>21710</t>
        </is>
      </c>
      <c r="G646" t="inlineStr">
        <is>
          <t>M29114</t>
        </is>
      </c>
      <c r="H646" t="inlineStr">
        <is>
          <t>B0008</t>
        </is>
      </c>
      <c r="I646" t="inlineStr">
        <is>
          <t>B00087B</t>
        </is>
      </c>
      <c r="J646" t="inlineStr">
        <is>
          <t>AIR CONDITIONER - GL0583ZAADWYX11</t>
        </is>
      </c>
      <c r="K646" t="inlineStr">
        <is>
          <t>IS</t>
        </is>
      </c>
      <c r="L646" t="inlineStr">
        <is>
          <t>EA</t>
        </is>
      </c>
      <c r="M646" t="inlineStr">
        <is>
          <t>R</t>
        </is>
      </c>
      <c r="N646" t="n">
        <v>0</v>
      </c>
      <c r="O646" t="n">
        <v>1</v>
      </c>
      <c r="P646" t="n">
        <v>1</v>
      </c>
    </row>
    <row r="647">
      <c r="B647" t="n">
        <v>643</v>
      </c>
      <c r="C647" t="inlineStr">
        <is>
          <t>21710</t>
        </is>
      </c>
      <c r="D647" t="inlineStr">
        <is>
          <t>21710</t>
        </is>
      </c>
      <c r="G647" t="inlineStr">
        <is>
          <t>M29114</t>
        </is>
      </c>
      <c r="H647" t="inlineStr">
        <is>
          <t>B0012</t>
        </is>
      </c>
      <c r="I647" t="inlineStr">
        <is>
          <t>B00122B</t>
        </is>
      </c>
      <c r="J647" t="inlineStr">
        <is>
          <t>SOLAR PANEL KIT</t>
        </is>
      </c>
      <c r="K647" t="inlineStr">
        <is>
          <t>IS</t>
        </is>
      </c>
      <c r="L647" t="inlineStr">
        <is>
          <t>KT</t>
        </is>
      </c>
      <c r="M647" t="inlineStr">
        <is>
          <t>N</t>
        </is>
      </c>
      <c r="N647" t="n">
        <v>0</v>
      </c>
      <c r="O647" t="n">
        <v>0</v>
      </c>
      <c r="P647" t="n">
        <v>0</v>
      </c>
    </row>
    <row r="648">
      <c r="B648" t="n">
        <v>644</v>
      </c>
      <c r="C648" t="inlineStr">
        <is>
          <t>21710</t>
        </is>
      </c>
      <c r="D648" t="inlineStr">
        <is>
          <t>21710</t>
        </is>
      </c>
      <c r="G648" t="inlineStr">
        <is>
          <t>M29114</t>
        </is>
      </c>
      <c r="H648" t="inlineStr">
        <is>
          <t>B0014</t>
        </is>
      </c>
      <c r="I648" t="inlineStr">
        <is>
          <t>B00147B</t>
        </is>
      </c>
      <c r="J648" t="inlineStr">
        <is>
          <t>AIR CONDITIONER - GL0383ZAADWYX11</t>
        </is>
      </c>
      <c r="K648" t="inlineStr">
        <is>
          <t>IS</t>
        </is>
      </c>
      <c r="L648" t="inlineStr">
        <is>
          <t>EA</t>
        </is>
      </c>
      <c r="M648" t="inlineStr">
        <is>
          <t>R</t>
        </is>
      </c>
      <c r="N648" t="n">
        <v>0</v>
      </c>
      <c r="O648" t="n">
        <v>1</v>
      </c>
      <c r="P648" t="n">
        <v>1</v>
      </c>
    </row>
    <row r="649">
      <c r="B649" t="n">
        <v>645</v>
      </c>
      <c r="C649" t="inlineStr">
        <is>
          <t>21710</t>
        </is>
      </c>
      <c r="D649" t="inlineStr">
        <is>
          <t>21710</t>
        </is>
      </c>
      <c r="G649" t="inlineStr">
        <is>
          <t>M29114</t>
        </is>
      </c>
      <c r="H649" t="inlineStr">
        <is>
          <t>B0015</t>
        </is>
      </c>
      <c r="I649" t="inlineStr">
        <is>
          <t>B00152B</t>
        </is>
      </c>
      <c r="J649" t="inlineStr">
        <is>
          <t>SOLAR CELL PANEL AS</t>
        </is>
      </c>
      <c r="K649" t="inlineStr">
        <is>
          <t>IS</t>
        </is>
      </c>
      <c r="L649" t="inlineStr">
        <is>
          <t>EA</t>
        </is>
      </c>
      <c r="M649" t="inlineStr">
        <is>
          <t>N</t>
        </is>
      </c>
      <c r="N649" t="n">
        <v>0</v>
      </c>
      <c r="O649" t="n">
        <v>0</v>
      </c>
      <c r="P649" t="n">
        <v>0</v>
      </c>
    </row>
    <row r="650">
      <c r="B650" t="n">
        <v>646</v>
      </c>
      <c r="C650" t="inlineStr">
        <is>
          <t>21710</t>
        </is>
      </c>
      <c r="D650" t="inlineStr">
        <is>
          <t>21710</t>
        </is>
      </c>
      <c r="G650" t="inlineStr">
        <is>
          <t>M29114</t>
        </is>
      </c>
      <c r="H650" t="inlineStr">
        <is>
          <t>B0021</t>
        </is>
      </c>
      <c r="I650" t="inlineStr">
        <is>
          <t>B00217B</t>
        </is>
      </c>
      <c r="J650" t="inlineStr">
        <is>
          <t>EXPEDITIONARY MOBIL - TPI-3T-3A</t>
        </is>
      </c>
      <c r="K650" t="inlineStr">
        <is>
          <t>DP</t>
        </is>
      </c>
      <c r="L650" t="inlineStr">
        <is>
          <t>EA</t>
        </is>
      </c>
      <c r="M650" t="inlineStr">
        <is>
          <t>N</t>
        </is>
      </c>
      <c r="N650" t="n">
        <v>0</v>
      </c>
      <c r="O650" t="n">
        <v>1</v>
      </c>
      <c r="P650" t="n">
        <v>1</v>
      </c>
    </row>
    <row r="651">
      <c r="B651" t="n">
        <v>647</v>
      </c>
      <c r="C651" t="inlineStr">
        <is>
          <t>21710</t>
        </is>
      </c>
      <c r="D651" t="inlineStr">
        <is>
          <t>21710</t>
        </is>
      </c>
      <c r="G651" t="inlineStr">
        <is>
          <t>M29114</t>
        </is>
      </c>
      <c r="H651" t="inlineStr">
        <is>
          <t>B0027</t>
        </is>
      </c>
      <c r="I651" t="inlineStr">
        <is>
          <t>B00277B</t>
        </is>
      </c>
      <c r="J651" t="inlineStr">
        <is>
          <t>PANEL,POWER DISTRIB - 5KW INDOOR</t>
        </is>
      </c>
      <c r="K651" t="inlineStr">
        <is>
          <t>IS</t>
        </is>
      </c>
      <c r="L651" t="inlineStr">
        <is>
          <t>EA</t>
        </is>
      </c>
      <c r="M651" t="inlineStr">
        <is>
          <t>R</t>
        </is>
      </c>
      <c r="N651" t="n">
        <v>0</v>
      </c>
      <c r="O651" t="n">
        <v>1</v>
      </c>
      <c r="P651" t="n">
        <v>1</v>
      </c>
    </row>
    <row r="652">
      <c r="B652" t="n">
        <v>648</v>
      </c>
      <c r="C652" t="inlineStr">
        <is>
          <t>21710</t>
        </is>
      </c>
      <c r="D652" t="inlineStr">
        <is>
          <t>21710</t>
        </is>
      </c>
      <c r="G652" t="inlineStr">
        <is>
          <t>M29114</t>
        </is>
      </c>
      <c r="H652" t="inlineStr">
        <is>
          <t>B0028</t>
        </is>
      </c>
      <c r="I652" t="inlineStr">
        <is>
          <t>B00287B</t>
        </is>
      </c>
      <c r="J652" t="inlineStr">
        <is>
          <t>PANEL,POWER DISTRIB - 5KW OUTDOOR</t>
        </is>
      </c>
      <c r="K652" t="inlineStr">
        <is>
          <t>IS</t>
        </is>
      </c>
      <c r="L652" t="inlineStr">
        <is>
          <t>EA</t>
        </is>
      </c>
      <c r="M652" t="inlineStr">
        <is>
          <t>R</t>
        </is>
      </c>
      <c r="N652" t="n">
        <v>0</v>
      </c>
      <c r="O652" t="n">
        <v>1</v>
      </c>
      <c r="P652" t="n">
        <v>1</v>
      </c>
    </row>
    <row r="653">
      <c r="B653" t="n">
        <v>649</v>
      </c>
      <c r="C653" t="inlineStr">
        <is>
          <t>21710</t>
        </is>
      </c>
      <c r="D653" t="inlineStr">
        <is>
          <t>21710</t>
        </is>
      </c>
      <c r="G653" t="inlineStr">
        <is>
          <t>M29114</t>
        </is>
      </c>
      <c r="H653" t="inlineStr">
        <is>
          <t>B0029</t>
        </is>
      </c>
      <c r="I653" t="inlineStr">
        <is>
          <t>B00297B</t>
        </is>
      </c>
      <c r="J653" t="inlineStr">
        <is>
          <t>PANEL,POWER DISTRIB - 15KW</t>
        </is>
      </c>
      <c r="K653" t="inlineStr">
        <is>
          <t>IS</t>
        </is>
      </c>
      <c r="L653" t="inlineStr">
        <is>
          <t>EA</t>
        </is>
      </c>
      <c r="M653" t="inlineStr">
        <is>
          <t>R</t>
        </is>
      </c>
      <c r="N653" t="n">
        <v>0</v>
      </c>
      <c r="O653" t="n">
        <v>1</v>
      </c>
      <c r="P653" t="n">
        <v>1</v>
      </c>
    </row>
    <row r="654">
      <c r="B654" t="n">
        <v>650</v>
      </c>
      <c r="C654" t="inlineStr">
        <is>
          <t>21710</t>
        </is>
      </c>
      <c r="D654" t="inlineStr">
        <is>
          <t>21710</t>
        </is>
      </c>
      <c r="G654" t="inlineStr">
        <is>
          <t>M29114</t>
        </is>
      </c>
      <c r="H654" t="inlineStr">
        <is>
          <t>B0031</t>
        </is>
      </c>
      <c r="I654" t="inlineStr">
        <is>
          <t>B00317B</t>
        </is>
      </c>
      <c r="J654" t="inlineStr">
        <is>
          <t>PANEL,POWER DISTRIB - DB350MA-P2WAS3</t>
        </is>
      </c>
      <c r="K654" t="inlineStr">
        <is>
          <t>IS</t>
        </is>
      </c>
      <c r="L654" t="inlineStr">
        <is>
          <t>EA</t>
        </is>
      </c>
      <c r="M654" t="inlineStr">
        <is>
          <t>R</t>
        </is>
      </c>
      <c r="N654" t="n">
        <v>0</v>
      </c>
      <c r="O654" t="n">
        <v>2</v>
      </c>
      <c r="P654" t="n">
        <v>2</v>
      </c>
    </row>
    <row r="655">
      <c r="B655" t="n">
        <v>651</v>
      </c>
      <c r="C655" t="inlineStr">
        <is>
          <t>21710</t>
        </is>
      </c>
      <c r="D655" t="inlineStr">
        <is>
          <t>21710</t>
        </is>
      </c>
      <c r="G655" t="inlineStr">
        <is>
          <t>M29114</t>
        </is>
      </c>
      <c r="H655" t="inlineStr">
        <is>
          <t>B0043</t>
        </is>
      </c>
      <c r="I655" t="inlineStr">
        <is>
          <t>B00437B</t>
        </is>
      </c>
      <c r="J655" t="inlineStr">
        <is>
          <t>GENERATOR SET,DIESE - MEP-1050A</t>
        </is>
      </c>
      <c r="K655" t="inlineStr">
        <is>
          <t>IS</t>
        </is>
      </c>
      <c r="L655" t="inlineStr">
        <is>
          <t>EA</t>
        </is>
      </c>
      <c r="M655" t="inlineStr">
        <is>
          <t>R</t>
        </is>
      </c>
      <c r="N655" t="n">
        <v>0</v>
      </c>
      <c r="O655" t="n">
        <v>2</v>
      </c>
      <c r="P655" t="n">
        <v>2</v>
      </c>
    </row>
    <row r="656">
      <c r="B656" t="n">
        <v>652</v>
      </c>
      <c r="C656" t="inlineStr">
        <is>
          <t>21710</t>
        </is>
      </c>
      <c r="D656" t="inlineStr">
        <is>
          <t>21710</t>
        </is>
      </c>
      <c r="G656" t="inlineStr">
        <is>
          <t>M29114</t>
        </is>
      </c>
      <c r="H656" t="inlineStr">
        <is>
          <t>B0054</t>
        </is>
      </c>
      <c r="I656" t="inlineStr">
        <is>
          <t>B00547B</t>
        </is>
      </c>
      <c r="J656" t="inlineStr">
        <is>
          <t>TEST SET,FUEL CONTR</t>
        </is>
      </c>
      <c r="K656" t="inlineStr">
        <is>
          <t>PL</t>
        </is>
      </c>
      <c r="L656" t="inlineStr">
        <is>
          <t>EA</t>
        </is>
      </c>
      <c r="M656" t="inlineStr">
        <is>
          <t>N</t>
        </is>
      </c>
      <c r="N656" t="n">
        <v>0</v>
      </c>
      <c r="O656" t="n">
        <v>1</v>
      </c>
      <c r="P656" t="n">
        <v>1</v>
      </c>
    </row>
    <row r="657">
      <c r="B657" t="n">
        <v>653</v>
      </c>
      <c r="C657" t="inlineStr">
        <is>
          <t>21710</t>
        </is>
      </c>
      <c r="D657" t="inlineStr">
        <is>
          <t>21710</t>
        </is>
      </c>
      <c r="G657" t="inlineStr">
        <is>
          <t>M29114</t>
        </is>
      </c>
      <c r="H657" t="inlineStr">
        <is>
          <t>B0055</t>
        </is>
      </c>
      <c r="I657" t="inlineStr">
        <is>
          <t>B00557B</t>
        </is>
      </c>
      <c r="J657" t="inlineStr">
        <is>
          <t>BATH UNIT,PORTABLE - MK64 MOD5</t>
        </is>
      </c>
      <c r="K657" t="inlineStr">
        <is>
          <t>IS</t>
        </is>
      </c>
      <c r="L657" t="inlineStr">
        <is>
          <t>EA</t>
        </is>
      </c>
      <c r="M657" t="inlineStr">
        <is>
          <t>N</t>
        </is>
      </c>
      <c r="N657" t="n">
        <v>0</v>
      </c>
      <c r="O657" t="n">
        <v>2</v>
      </c>
      <c r="P657" t="n">
        <v>2</v>
      </c>
    </row>
    <row r="658">
      <c r="B658" t="n">
        <v>654</v>
      </c>
      <c r="C658" t="inlineStr">
        <is>
          <t>21710</t>
        </is>
      </c>
      <c r="D658" t="inlineStr">
        <is>
          <t>21710</t>
        </is>
      </c>
      <c r="G658" t="inlineStr">
        <is>
          <t>M29114</t>
        </is>
      </c>
      <c r="H658" t="inlineStr">
        <is>
          <t>B0059</t>
        </is>
      </c>
      <c r="I658" t="inlineStr">
        <is>
          <t>B00597B</t>
        </is>
      </c>
      <c r="J658" t="inlineStr">
        <is>
          <t>BATTERY CHARGER KIT</t>
        </is>
      </c>
      <c r="K658" t="inlineStr">
        <is>
          <t>IS</t>
        </is>
      </c>
      <c r="L658" t="inlineStr">
        <is>
          <t>EA</t>
        </is>
      </c>
      <c r="M658" t="inlineStr">
        <is>
          <t>N</t>
        </is>
      </c>
      <c r="N658" t="n">
        <v>0</v>
      </c>
      <c r="O658" t="n">
        <v>3</v>
      </c>
      <c r="P658" t="n">
        <v>3</v>
      </c>
    </row>
    <row r="659">
      <c r="B659" t="n">
        <v>655</v>
      </c>
      <c r="C659" t="inlineStr">
        <is>
          <t>21730</t>
        </is>
      </c>
      <c r="D659" t="inlineStr">
        <is>
          <t>21730</t>
        </is>
      </c>
      <c r="G659" t="inlineStr">
        <is>
          <t>M29114</t>
        </is>
      </c>
      <c r="H659" t="inlineStr">
        <is>
          <t>B0061</t>
        </is>
      </c>
      <c r="I659" t="inlineStr">
        <is>
          <t>B00612E</t>
        </is>
      </c>
      <c r="J659" t="inlineStr">
        <is>
          <t>COOLING AND REFRIGE - CREK-M</t>
        </is>
      </c>
      <c r="K659" t="inlineStr">
        <is>
          <t>IS</t>
        </is>
      </c>
      <c r="L659" t="inlineStr">
        <is>
          <t>KT</t>
        </is>
      </c>
      <c r="M659" t="inlineStr">
        <is>
          <t>N</t>
        </is>
      </c>
      <c r="N659" t="n">
        <v>0</v>
      </c>
      <c r="O659" t="n">
        <v>1</v>
      </c>
      <c r="P659" t="n">
        <v>1</v>
      </c>
    </row>
    <row r="660">
      <c r="B660" t="n">
        <v>656</v>
      </c>
      <c r="C660" t="inlineStr">
        <is>
          <t>21730</t>
        </is>
      </c>
      <c r="D660" t="inlineStr">
        <is>
          <t>21730</t>
        </is>
      </c>
      <c r="G660" t="inlineStr">
        <is>
          <t>M29114</t>
        </is>
      </c>
      <c r="H660" t="inlineStr">
        <is>
          <t>B0062</t>
        </is>
      </c>
      <c r="I660" t="inlineStr">
        <is>
          <t>B00622E</t>
        </is>
      </c>
      <c r="J660" t="inlineStr">
        <is>
          <t>TOOL KIT,LINEMAN'S - TK-1141</t>
        </is>
      </c>
      <c r="K660" t="inlineStr">
        <is>
          <t>IS</t>
        </is>
      </c>
      <c r="L660" t="inlineStr">
        <is>
          <t>KT</t>
        </is>
      </c>
      <c r="M660" t="inlineStr">
        <is>
          <t>N</t>
        </is>
      </c>
      <c r="N660" t="n">
        <v>0</v>
      </c>
      <c r="O660" t="n">
        <v>1</v>
      </c>
      <c r="P660" t="n">
        <v>1</v>
      </c>
    </row>
    <row r="661">
      <c r="B661" t="n">
        <v>657</v>
      </c>
      <c r="C661" t="inlineStr">
        <is>
          <t>21710</t>
        </is>
      </c>
      <c r="D661" t="inlineStr">
        <is>
          <t>21710</t>
        </is>
      </c>
      <c r="G661" t="inlineStr">
        <is>
          <t>M29114</t>
        </is>
      </c>
      <c r="H661" t="inlineStr">
        <is>
          <t>B0063</t>
        </is>
      </c>
      <c r="I661" t="inlineStr">
        <is>
          <t>B00637B</t>
        </is>
      </c>
      <c r="J661" t="inlineStr">
        <is>
          <t>LOADER,SCOOP TYPE - 624KR</t>
        </is>
      </c>
      <c r="K661" t="inlineStr">
        <is>
          <t>IS</t>
        </is>
      </c>
      <c r="L661" t="inlineStr">
        <is>
          <t>EA</t>
        </is>
      </c>
      <c r="M661" t="inlineStr">
        <is>
          <t>M</t>
        </is>
      </c>
      <c r="N661" t="n">
        <v>0</v>
      </c>
      <c r="O661" t="n">
        <v>1</v>
      </c>
      <c r="P661" t="n">
        <v>1</v>
      </c>
    </row>
    <row r="662">
      <c r="B662" t="n">
        <v>658</v>
      </c>
      <c r="C662" t="inlineStr">
        <is>
          <t>21710</t>
        </is>
      </c>
      <c r="D662" t="inlineStr">
        <is>
          <t>21710</t>
        </is>
      </c>
      <c r="G662" t="inlineStr">
        <is>
          <t>M29114</t>
        </is>
      </c>
      <c r="H662" t="inlineStr">
        <is>
          <t>B0068</t>
        </is>
      </c>
      <c r="I662" t="inlineStr">
        <is>
          <t>B00687B</t>
        </is>
      </c>
      <c r="J662" t="inlineStr">
        <is>
          <t>POWER SUPPLY</t>
        </is>
      </c>
      <c r="K662" t="inlineStr">
        <is>
          <t>IS</t>
        </is>
      </c>
      <c r="L662" t="inlineStr">
        <is>
          <t>EA</t>
        </is>
      </c>
      <c r="M662" t="inlineStr">
        <is>
          <t>N</t>
        </is>
      </c>
      <c r="N662" t="n">
        <v>0</v>
      </c>
      <c r="O662" t="n">
        <v>0</v>
      </c>
      <c r="P662" t="n">
        <v>0</v>
      </c>
    </row>
    <row r="663">
      <c r="B663" t="n">
        <v>659</v>
      </c>
      <c r="C663" t="inlineStr">
        <is>
          <t>21710</t>
        </is>
      </c>
      <c r="D663" t="inlineStr">
        <is>
          <t>21710</t>
        </is>
      </c>
      <c r="G663" t="inlineStr">
        <is>
          <t>M29114</t>
        </is>
      </c>
      <c r="H663" t="inlineStr">
        <is>
          <t>B0071</t>
        </is>
      </c>
      <c r="I663" t="inlineStr">
        <is>
          <t>B00717B</t>
        </is>
      </c>
      <c r="J663" t="inlineStr">
        <is>
          <t>WATER PURIFICATION - LWPS-5001</t>
        </is>
      </c>
      <c r="K663" t="inlineStr">
        <is>
          <t>IS</t>
        </is>
      </c>
      <c r="L663" t="inlineStr">
        <is>
          <t>EA</t>
        </is>
      </c>
      <c r="M663" t="inlineStr">
        <is>
          <t>M</t>
        </is>
      </c>
      <c r="N663" t="n">
        <v>0</v>
      </c>
      <c r="O663" t="n">
        <v>0</v>
      </c>
      <c r="P663" t="n">
        <v>0</v>
      </c>
    </row>
    <row r="664">
      <c r="B664" t="n">
        <v>660</v>
      </c>
      <c r="C664" t="inlineStr">
        <is>
          <t>21710</t>
        </is>
      </c>
      <c r="D664" t="inlineStr">
        <is>
          <t>21710</t>
        </is>
      </c>
      <c r="G664" t="inlineStr">
        <is>
          <t>M29114</t>
        </is>
      </c>
      <c r="H664" t="inlineStr">
        <is>
          <t>B0076</t>
        </is>
      </c>
      <c r="I664" t="inlineStr">
        <is>
          <t>B00767B</t>
        </is>
      </c>
      <c r="J664" t="inlineStr">
        <is>
          <t>MULTI TERRAIN LOADE - 316-1679</t>
        </is>
      </c>
      <c r="K664" t="inlineStr">
        <is>
          <t>IS</t>
        </is>
      </c>
      <c r="L664" t="inlineStr">
        <is>
          <t>EA</t>
        </is>
      </c>
      <c r="M664" t="inlineStr">
        <is>
          <t>N</t>
        </is>
      </c>
      <c r="N664" t="n">
        <v>0</v>
      </c>
      <c r="O664" t="n">
        <v>0</v>
      </c>
      <c r="P664" t="n">
        <v>0</v>
      </c>
    </row>
    <row r="665">
      <c r="B665" t="n">
        <v>661</v>
      </c>
      <c r="C665" t="inlineStr">
        <is>
          <t>21730</t>
        </is>
      </c>
      <c r="D665" t="inlineStr">
        <is>
          <t>21730</t>
        </is>
      </c>
      <c r="G665" t="inlineStr">
        <is>
          <t>M29114</t>
        </is>
      </c>
      <c r="H665" t="inlineStr">
        <is>
          <t>B0085</t>
        </is>
      </c>
      <c r="I665" t="inlineStr">
        <is>
          <t>B00852E</t>
        </is>
      </c>
      <c r="J665" t="inlineStr">
        <is>
          <t>TOOL KIT,MEDIUM CRA - MCTTK009</t>
        </is>
      </c>
      <c r="K665" t="inlineStr">
        <is>
          <t>IS</t>
        </is>
      </c>
      <c r="L665" t="inlineStr">
        <is>
          <t>EA</t>
        </is>
      </c>
      <c r="M665" t="inlineStr">
        <is>
          <t>N</t>
        </is>
      </c>
      <c r="N665" t="n">
        <v>0</v>
      </c>
      <c r="O665" t="n">
        <v>0</v>
      </c>
      <c r="P665" t="n">
        <v>0</v>
      </c>
    </row>
    <row r="666">
      <c r="B666" t="n">
        <v>662</v>
      </c>
      <c r="C666" t="inlineStr">
        <is>
          <t>21710</t>
        </is>
      </c>
      <c r="D666" t="inlineStr">
        <is>
          <t>21710</t>
        </is>
      </c>
      <c r="G666" t="inlineStr">
        <is>
          <t>M29114</t>
        </is>
      </c>
      <c r="H666" t="inlineStr">
        <is>
          <t>B0103</t>
        </is>
      </c>
      <c r="I666" t="inlineStr">
        <is>
          <t>B01032B</t>
        </is>
      </c>
      <c r="J666" t="inlineStr">
        <is>
          <t>BOX,ACCESSORIES STO - 1001A003</t>
        </is>
      </c>
      <c r="K666" t="inlineStr">
        <is>
          <t>IS</t>
        </is>
      </c>
      <c r="L666" t="inlineStr">
        <is>
          <t>KT</t>
        </is>
      </c>
      <c r="M666" t="inlineStr">
        <is>
          <t>N</t>
        </is>
      </c>
      <c r="N666" t="n">
        <v>0</v>
      </c>
      <c r="O666" t="n">
        <v>0</v>
      </c>
      <c r="P666" t="n">
        <v>0</v>
      </c>
    </row>
    <row r="667">
      <c r="B667" t="n">
        <v>663</v>
      </c>
      <c r="C667" t="inlineStr">
        <is>
          <t>21710</t>
        </is>
      </c>
      <c r="D667" t="inlineStr">
        <is>
          <t>21710</t>
        </is>
      </c>
      <c r="G667" t="inlineStr">
        <is>
          <t>M29114</t>
        </is>
      </c>
      <c r="H667" t="inlineStr">
        <is>
          <t>B0395</t>
        </is>
      </c>
      <c r="I667" t="inlineStr">
        <is>
          <t>B03957B</t>
        </is>
      </c>
      <c r="J667" t="inlineStr">
        <is>
          <t>COMPRESSOR,AIR,260- - P260WIRMIL</t>
        </is>
      </c>
      <c r="K667" t="inlineStr">
        <is>
          <t>IS</t>
        </is>
      </c>
      <c r="L667" t="inlineStr">
        <is>
          <t>EA</t>
        </is>
      </c>
      <c r="M667" t="inlineStr">
        <is>
          <t>N</t>
        </is>
      </c>
      <c r="N667" t="n">
        <v>0</v>
      </c>
      <c r="O667" t="n">
        <v>0</v>
      </c>
      <c r="P667" t="n">
        <v>0</v>
      </c>
    </row>
    <row r="668">
      <c r="B668" t="n">
        <v>664</v>
      </c>
      <c r="C668" t="inlineStr">
        <is>
          <t>21710</t>
        </is>
      </c>
      <c r="D668" t="inlineStr">
        <is>
          <t>21710</t>
        </is>
      </c>
      <c r="G668" t="inlineStr">
        <is>
          <t>M29114</t>
        </is>
      </c>
      <c r="H668" t="inlineStr">
        <is>
          <t>B0570</t>
        </is>
      </c>
      <c r="I668" t="inlineStr">
        <is>
          <t>B05707B</t>
        </is>
      </c>
      <c r="J668" t="inlineStr">
        <is>
          <t>DRUM,FABRIC,COLLAPS - GTA-500LF-SL3</t>
        </is>
      </c>
      <c r="K668" t="inlineStr">
        <is>
          <t>IS</t>
        </is>
      </c>
      <c r="L668" t="inlineStr">
        <is>
          <t>EA</t>
        </is>
      </c>
      <c r="M668" t="inlineStr">
        <is>
          <t>N</t>
        </is>
      </c>
      <c r="N668" t="n">
        <v>0</v>
      </c>
      <c r="O668" t="n">
        <v>2</v>
      </c>
      <c r="P668" t="n">
        <v>2</v>
      </c>
    </row>
    <row r="669">
      <c r="B669" t="n">
        <v>665</v>
      </c>
      <c r="C669" t="inlineStr">
        <is>
          <t>21710</t>
        </is>
      </c>
      <c r="D669" t="inlineStr">
        <is>
          <t>21710</t>
        </is>
      </c>
      <c r="G669" t="inlineStr">
        <is>
          <t>M29114</t>
        </is>
      </c>
      <c r="H669" t="inlineStr">
        <is>
          <t>B0573</t>
        </is>
      </c>
      <c r="I669" t="inlineStr">
        <is>
          <t>B05737B</t>
        </is>
      </c>
      <c r="J669" t="inlineStr">
        <is>
          <t>TANK,LIQUID STORAGE - GTA-3KF-SL-3</t>
        </is>
      </c>
      <c r="K669" t="inlineStr">
        <is>
          <t>IS</t>
        </is>
      </c>
      <c r="L669" t="inlineStr">
        <is>
          <t>EA</t>
        </is>
      </c>
      <c r="M669" t="inlineStr">
        <is>
          <t>N</t>
        </is>
      </c>
      <c r="N669" t="n">
        <v>0</v>
      </c>
      <c r="O669" t="n">
        <v>2</v>
      </c>
      <c r="P669" t="n">
        <v>2</v>
      </c>
    </row>
    <row r="670">
      <c r="B670" t="n">
        <v>666</v>
      </c>
      <c r="C670" t="inlineStr">
        <is>
          <t>21710</t>
        </is>
      </c>
      <c r="D670" t="inlineStr">
        <is>
          <t>21710</t>
        </is>
      </c>
      <c r="G670" t="inlineStr">
        <is>
          <t>M29114</t>
        </is>
      </c>
      <c r="H670" t="inlineStr">
        <is>
          <t>B0579</t>
        </is>
      </c>
      <c r="I670" t="inlineStr">
        <is>
          <t>B05797B</t>
        </is>
      </c>
      <c r="J670" t="inlineStr">
        <is>
          <t>LOAD BANK,ELECTRICA - LSH LOAD BANK</t>
        </is>
      </c>
      <c r="K670" t="inlineStr">
        <is>
          <t>IS</t>
        </is>
      </c>
      <c r="L670" t="inlineStr">
        <is>
          <t>EA</t>
        </is>
      </c>
      <c r="M670" t="inlineStr">
        <is>
          <t>N</t>
        </is>
      </c>
      <c r="N670" t="n">
        <v>0</v>
      </c>
      <c r="O670" t="n">
        <v>1</v>
      </c>
      <c r="P670" t="n">
        <v>1</v>
      </c>
    </row>
    <row r="671">
      <c r="B671" t="n">
        <v>667</v>
      </c>
      <c r="C671" t="inlineStr">
        <is>
          <t>21710</t>
        </is>
      </c>
      <c r="D671" t="inlineStr">
        <is>
          <t>21710</t>
        </is>
      </c>
      <c r="G671" t="inlineStr">
        <is>
          <t>M29114</t>
        </is>
      </c>
      <c r="H671" t="inlineStr">
        <is>
          <t>B0626</t>
        </is>
      </c>
      <c r="I671" t="inlineStr">
        <is>
          <t>B06267B</t>
        </is>
      </c>
      <c r="J671" t="inlineStr">
        <is>
          <t>FIRE SUPPRESION SYS - TM-280A</t>
        </is>
      </c>
      <c r="K671" t="inlineStr">
        <is>
          <t>DP</t>
        </is>
      </c>
      <c r="L671" t="inlineStr">
        <is>
          <t>EA</t>
        </is>
      </c>
      <c r="M671" t="inlineStr">
        <is>
          <t>N</t>
        </is>
      </c>
      <c r="N671" t="n">
        <v>0</v>
      </c>
      <c r="O671" t="n">
        <v>0</v>
      </c>
      <c r="P671" t="n">
        <v>0</v>
      </c>
    </row>
    <row r="672">
      <c r="B672" t="n">
        <v>668</v>
      </c>
      <c r="C672" t="inlineStr">
        <is>
          <t>21710</t>
        </is>
      </c>
      <c r="D672" t="inlineStr">
        <is>
          <t>21710</t>
        </is>
      </c>
      <c r="G672" t="inlineStr">
        <is>
          <t>M29114</t>
        </is>
      </c>
      <c r="H672" t="inlineStr">
        <is>
          <t>B0676</t>
        </is>
      </c>
      <c r="I672" t="inlineStr">
        <is>
          <t>B06767B</t>
        </is>
      </c>
      <c r="J672" t="inlineStr">
        <is>
          <t>FORWARD WATER POINT - SC4320-97-CL-</t>
        </is>
      </c>
      <c r="K672" t="inlineStr">
        <is>
          <t>IS</t>
        </is>
      </c>
      <c r="L672" t="inlineStr">
        <is>
          <t>EA</t>
        </is>
      </c>
      <c r="M672" t="inlineStr">
        <is>
          <t>N</t>
        </is>
      </c>
      <c r="N672" t="n">
        <v>0</v>
      </c>
      <c r="O672" t="n">
        <v>1</v>
      </c>
      <c r="P672" t="n">
        <v>1</v>
      </c>
    </row>
    <row r="673">
      <c r="B673" t="n">
        <v>669</v>
      </c>
      <c r="C673" t="inlineStr">
        <is>
          <t>21710</t>
        </is>
      </c>
      <c r="D673" t="inlineStr">
        <is>
          <t>21710</t>
        </is>
      </c>
      <c r="G673" t="inlineStr">
        <is>
          <t>M29114</t>
        </is>
      </c>
      <c r="H673" t="inlineStr">
        <is>
          <t>B0953</t>
        </is>
      </c>
      <c r="I673" t="inlineStr">
        <is>
          <t>B09537B</t>
        </is>
      </c>
      <c r="J673" t="inlineStr">
        <is>
          <t>GENERATOR SET,DIESE - MEP-1060A</t>
        </is>
      </c>
      <c r="K673" t="inlineStr">
        <is>
          <t>IS</t>
        </is>
      </c>
      <c r="L673" t="inlineStr">
        <is>
          <t>EA</t>
        </is>
      </c>
      <c r="M673" t="inlineStr">
        <is>
          <t>R</t>
        </is>
      </c>
      <c r="N673" t="n">
        <v>0</v>
      </c>
      <c r="O673" t="n">
        <v>2</v>
      </c>
      <c r="P673" t="n">
        <v>2</v>
      </c>
    </row>
    <row r="674">
      <c r="B674" t="n">
        <v>670</v>
      </c>
      <c r="C674" t="inlineStr">
        <is>
          <t>21710</t>
        </is>
      </c>
      <c r="D674" t="inlineStr">
        <is>
          <t>21710</t>
        </is>
      </c>
      <c r="G674" t="inlineStr">
        <is>
          <t>M29114</t>
        </is>
      </c>
      <c r="H674" t="inlineStr">
        <is>
          <t>B1021</t>
        </is>
      </c>
      <c r="I674" t="inlineStr">
        <is>
          <t>B10217B</t>
        </is>
      </c>
      <c r="J674" t="inlineStr">
        <is>
          <t>GENERATOR SET,DIESE - MEP-1070A</t>
        </is>
      </c>
      <c r="K674" t="inlineStr">
        <is>
          <t>IS</t>
        </is>
      </c>
      <c r="L674" t="inlineStr">
        <is>
          <t>EA</t>
        </is>
      </c>
      <c r="M674" t="inlineStr">
        <is>
          <t>R</t>
        </is>
      </c>
      <c r="N674" t="n">
        <v>0</v>
      </c>
      <c r="O674" t="n">
        <v>4</v>
      </c>
      <c r="P674" t="n">
        <v>4</v>
      </c>
    </row>
    <row r="675">
      <c r="B675" t="n">
        <v>671</v>
      </c>
      <c r="C675" t="inlineStr">
        <is>
          <t>21710</t>
        </is>
      </c>
      <c r="D675" t="inlineStr">
        <is>
          <t>21710</t>
        </is>
      </c>
      <c r="G675" t="inlineStr">
        <is>
          <t>M29114</t>
        </is>
      </c>
      <c r="H675" t="inlineStr">
        <is>
          <t>B2035</t>
        </is>
      </c>
      <c r="I675" t="inlineStr">
        <is>
          <t>B20357B</t>
        </is>
      </c>
      <c r="J675" t="inlineStr">
        <is>
          <t>SLING,MULTIPLE LEG - CH-53E</t>
        </is>
      </c>
      <c r="K675" t="inlineStr">
        <is>
          <t>IS</t>
        </is>
      </c>
      <c r="L675" t="inlineStr">
        <is>
          <t>EA</t>
        </is>
      </c>
      <c r="M675" t="inlineStr">
        <is>
          <t>N</t>
        </is>
      </c>
      <c r="N675" t="n">
        <v>0</v>
      </c>
      <c r="O675" t="n">
        <v>4</v>
      </c>
      <c r="P675" t="n">
        <v>4</v>
      </c>
    </row>
    <row r="676">
      <c r="B676" t="n">
        <v>672</v>
      </c>
      <c r="C676" t="inlineStr">
        <is>
          <t>21710</t>
        </is>
      </c>
      <c r="D676" t="inlineStr">
        <is>
          <t>21710</t>
        </is>
      </c>
      <c r="G676" t="inlineStr">
        <is>
          <t>M29114</t>
        </is>
      </c>
      <c r="H676" t="inlineStr">
        <is>
          <t>B2130</t>
        </is>
      </c>
      <c r="I676" t="inlineStr">
        <is>
          <t>B21307B</t>
        </is>
      </c>
      <c r="J676" t="inlineStr">
        <is>
          <t>TANK,WATER,3000 GAL - RCF-3K-W-OT</t>
        </is>
      </c>
      <c r="K676" t="inlineStr">
        <is>
          <t>IS</t>
        </is>
      </c>
      <c r="L676" t="inlineStr">
        <is>
          <t>EA</t>
        </is>
      </c>
      <c r="M676" t="inlineStr">
        <is>
          <t>N</t>
        </is>
      </c>
      <c r="N676" t="n">
        <v>0</v>
      </c>
      <c r="O676" t="n">
        <v>2</v>
      </c>
      <c r="P676" t="n">
        <v>2</v>
      </c>
    </row>
    <row r="677">
      <c r="B677" t="n">
        <v>673</v>
      </c>
      <c r="C677" t="inlineStr">
        <is>
          <t>21710</t>
        </is>
      </c>
      <c r="D677" t="inlineStr">
        <is>
          <t>21710</t>
        </is>
      </c>
      <c r="G677" t="inlineStr">
        <is>
          <t>M29114</t>
        </is>
      </c>
      <c r="H677" t="inlineStr">
        <is>
          <t>B2460</t>
        </is>
      </c>
      <c r="I677" t="inlineStr">
        <is>
          <t>B24607B</t>
        </is>
      </c>
      <c r="J677" t="inlineStr">
        <is>
          <t>TRACTOR,FULL TRACKE - D6K</t>
        </is>
      </c>
      <c r="K677" t="inlineStr">
        <is>
          <t>IS</t>
        </is>
      </c>
      <c r="L677" t="inlineStr">
        <is>
          <t>EA</t>
        </is>
      </c>
      <c r="M677" t="inlineStr">
        <is>
          <t>N</t>
        </is>
      </c>
      <c r="N677" t="n">
        <v>0</v>
      </c>
      <c r="O677" t="n">
        <v>0</v>
      </c>
      <c r="P677" t="n">
        <v>0</v>
      </c>
    </row>
    <row r="678">
      <c r="B678" t="n">
        <v>674</v>
      </c>
      <c r="C678" t="inlineStr">
        <is>
          <t>21710</t>
        </is>
      </c>
      <c r="D678" t="inlineStr">
        <is>
          <t>21710</t>
        </is>
      </c>
      <c r="G678" t="inlineStr">
        <is>
          <t>M29114</t>
        </is>
      </c>
      <c r="H678" t="inlineStr">
        <is>
          <t>B2561</t>
        </is>
      </c>
      <c r="I678" t="inlineStr">
        <is>
          <t>B25617B</t>
        </is>
      </c>
      <c r="J678" t="inlineStr">
        <is>
          <t>TRUCK,LIFT,FORK - EBFL-M</t>
        </is>
      </c>
      <c r="K678" t="inlineStr">
        <is>
          <t>IS</t>
        </is>
      </c>
      <c r="L678" t="inlineStr">
        <is>
          <t>EA</t>
        </is>
      </c>
      <c r="M678" t="inlineStr">
        <is>
          <t>R</t>
        </is>
      </c>
      <c r="N678" t="n">
        <v>0</v>
      </c>
      <c r="O678" t="n">
        <v>0</v>
      </c>
      <c r="P678" t="n">
        <v>0</v>
      </c>
    </row>
    <row r="679">
      <c r="B679" t="n">
        <v>675</v>
      </c>
      <c r="C679" t="inlineStr">
        <is>
          <t>21710</t>
        </is>
      </c>
      <c r="D679" t="inlineStr">
        <is>
          <t>21710</t>
        </is>
      </c>
      <c r="G679" t="inlineStr">
        <is>
          <t>M29114</t>
        </is>
      </c>
      <c r="H679" t="inlineStr">
        <is>
          <t>B2565</t>
        </is>
      </c>
      <c r="I679" t="inlineStr">
        <is>
          <t>B25657K</t>
        </is>
      </c>
      <c r="J679" t="inlineStr">
        <is>
          <t>TRAILER,FLAT BED - GTTU202-30-20</t>
        </is>
      </c>
      <c r="K679" t="inlineStr">
        <is>
          <t>IS</t>
        </is>
      </c>
      <c r="L679" t="inlineStr">
        <is>
          <t>EA</t>
        </is>
      </c>
      <c r="M679" t="inlineStr">
        <is>
          <t>N</t>
        </is>
      </c>
      <c r="N679" t="n">
        <v>0</v>
      </c>
      <c r="O679" t="n">
        <v>0</v>
      </c>
      <c r="P679" t="n">
        <v>0</v>
      </c>
    </row>
    <row r="680">
      <c r="B680" t="n">
        <v>676</v>
      </c>
      <c r="C680" t="inlineStr">
        <is>
          <t>21710</t>
        </is>
      </c>
      <c r="D680" t="inlineStr">
        <is>
          <t>21710</t>
        </is>
      </c>
      <c r="G680" t="inlineStr">
        <is>
          <t>M29114</t>
        </is>
      </c>
      <c r="H680" t="inlineStr">
        <is>
          <t>B2566</t>
        </is>
      </c>
      <c r="I680" t="inlineStr">
        <is>
          <t>B25667B</t>
        </is>
      </c>
      <c r="J680" t="inlineStr">
        <is>
          <t>TRUCK,LIFT,FORK - RT- 022</t>
        </is>
      </c>
      <c r="K680" t="inlineStr">
        <is>
          <t>IS</t>
        </is>
      </c>
      <c r="L680" t="inlineStr">
        <is>
          <t>EA</t>
        </is>
      </c>
      <c r="M680" t="inlineStr">
        <is>
          <t>R</t>
        </is>
      </c>
      <c r="N680" t="n">
        <v>0</v>
      </c>
      <c r="O680" t="n">
        <v>1</v>
      </c>
      <c r="P680" t="n">
        <v>1</v>
      </c>
    </row>
    <row r="681">
      <c r="B681" t="n">
        <v>677</v>
      </c>
      <c r="C681" t="inlineStr">
        <is>
          <t>21710</t>
        </is>
      </c>
      <c r="D681" t="inlineStr">
        <is>
          <t>21710</t>
        </is>
      </c>
      <c r="G681" t="inlineStr">
        <is>
          <t>M29114</t>
        </is>
      </c>
      <c r="H681" t="inlineStr">
        <is>
          <t>B2685</t>
        </is>
      </c>
      <c r="I681" t="inlineStr">
        <is>
          <t>B26857B</t>
        </is>
      </c>
      <c r="J681" t="inlineStr">
        <is>
          <t>WELDING SHOP,MARINE - MCTWS</t>
        </is>
      </c>
      <c r="K681" t="inlineStr">
        <is>
          <t>IS</t>
        </is>
      </c>
      <c r="L681" t="inlineStr">
        <is>
          <t>EA</t>
        </is>
      </c>
      <c r="M681" t="inlineStr">
        <is>
          <t>N</t>
        </is>
      </c>
      <c r="N681" t="n">
        <v>0</v>
      </c>
      <c r="O681" t="n">
        <v>1</v>
      </c>
      <c r="P681" t="n">
        <v>1</v>
      </c>
    </row>
    <row r="682">
      <c r="B682" t="n">
        <v>678</v>
      </c>
      <c r="C682" t="inlineStr">
        <is>
          <t>21710</t>
        </is>
      </c>
      <c r="D682" t="inlineStr">
        <is>
          <t>21710</t>
        </is>
      </c>
      <c r="G682" t="inlineStr">
        <is>
          <t>M29114</t>
        </is>
      </c>
      <c r="H682" t="inlineStr">
        <is>
          <t>B7000</t>
        </is>
      </c>
      <c r="I682" t="inlineStr">
        <is>
          <t>B70002B</t>
        </is>
      </c>
      <c r="J682" t="inlineStr">
        <is>
          <t>ANALYZER SET,VEHICU - 10009A0000</t>
        </is>
      </c>
      <c r="K682" t="inlineStr">
        <is>
          <t>DP</t>
        </is>
      </c>
      <c r="L682" t="inlineStr">
        <is>
          <t>EA</t>
        </is>
      </c>
      <c r="M682" t="inlineStr">
        <is>
          <t>N</t>
        </is>
      </c>
      <c r="N682" t="n">
        <v>0</v>
      </c>
      <c r="O682" t="n">
        <v>0</v>
      </c>
      <c r="P682" t="n">
        <v>0</v>
      </c>
    </row>
    <row r="683">
      <c r="B683" t="n">
        <v>679</v>
      </c>
      <c r="C683" t="inlineStr">
        <is>
          <t>21710</t>
        </is>
      </c>
      <c r="D683" t="inlineStr">
        <is>
          <t>21710</t>
        </is>
      </c>
      <c r="G683" t="inlineStr">
        <is>
          <t>M29114</t>
        </is>
      </c>
      <c r="H683" t="inlineStr">
        <is>
          <t>B7900</t>
        </is>
      </c>
      <c r="I683" t="inlineStr">
        <is>
          <t>B79002B</t>
        </is>
      </c>
      <c r="J683" t="inlineStr">
        <is>
          <t>ELECTRONIC SHOP,TRA - SEE-1141/I</t>
        </is>
      </c>
      <c r="K683" t="inlineStr">
        <is>
          <t>IS</t>
        </is>
      </c>
      <c r="L683" t="inlineStr">
        <is>
          <t>EA</t>
        </is>
      </c>
      <c r="M683" t="inlineStr">
        <is>
          <t>N</t>
        </is>
      </c>
      <c r="N683" t="n">
        <v>0</v>
      </c>
      <c r="O683" t="n">
        <v>1</v>
      </c>
      <c r="P683" t="n">
        <v>1</v>
      </c>
    </row>
    <row r="684">
      <c r="B684" t="n">
        <v>680</v>
      </c>
      <c r="C684" t="inlineStr">
        <is>
          <t>44112</t>
        </is>
      </c>
      <c r="D684" t="inlineStr">
        <is>
          <t>44112</t>
        </is>
      </c>
      <c r="G684" t="inlineStr">
        <is>
          <t>M29114</t>
        </is>
      </c>
      <c r="H684" t="inlineStr">
        <is>
          <t>C0010</t>
        </is>
      </c>
      <c r="I684" t="inlineStr">
        <is>
          <t>C00102F</t>
        </is>
      </c>
      <c r="J684" t="inlineStr">
        <is>
          <t>CARRIER,SMALL ARMS</t>
        </is>
      </c>
      <c r="K684" t="inlineStr">
        <is>
          <t>IS</t>
        </is>
      </c>
      <c r="L684" t="inlineStr">
        <is>
          <t>EA</t>
        </is>
      </c>
      <c r="M684" t="inlineStr">
        <is>
          <t>N</t>
        </is>
      </c>
      <c r="N684" t="n">
        <v>106</v>
      </c>
      <c r="O684" t="n">
        <v>0</v>
      </c>
      <c r="P684" t="n">
        <v>106</v>
      </c>
    </row>
    <row r="685">
      <c r="B685" t="n">
        <v>681</v>
      </c>
      <c r="C685" t="inlineStr">
        <is>
          <t>44112</t>
        </is>
      </c>
      <c r="D685" t="inlineStr">
        <is>
          <t>44112</t>
        </is>
      </c>
      <c r="G685" t="inlineStr">
        <is>
          <t>M29114</t>
        </is>
      </c>
      <c r="H685" t="inlineStr">
        <is>
          <t>C0015</t>
        </is>
      </c>
      <c r="I685" t="inlineStr">
        <is>
          <t>C00152E</t>
        </is>
      </c>
      <c r="J685" t="inlineStr">
        <is>
          <t>INSERT,SMALL ARMS P - 95662</t>
        </is>
      </c>
      <c r="K685" t="inlineStr">
        <is>
          <t>IS</t>
        </is>
      </c>
      <c r="L685" t="inlineStr">
        <is>
          <t>EA</t>
        </is>
      </c>
      <c r="M685" t="inlineStr">
        <is>
          <t>N</t>
        </is>
      </c>
      <c r="N685" t="n">
        <v>212</v>
      </c>
      <c r="O685" t="n">
        <v>0</v>
      </c>
      <c r="P685" t="n">
        <v>212</v>
      </c>
    </row>
    <row r="686">
      <c r="B686" t="n">
        <v>682</v>
      </c>
      <c r="C686" t="inlineStr">
        <is>
          <t>44112</t>
        </is>
      </c>
      <c r="D686" t="inlineStr">
        <is>
          <t>44112</t>
        </is>
      </c>
      <c r="G686" t="inlineStr">
        <is>
          <t>M29114</t>
        </is>
      </c>
      <c r="H686" t="inlineStr">
        <is>
          <t>C0018</t>
        </is>
      </c>
      <c r="I686" t="inlineStr">
        <is>
          <t>C00187B</t>
        </is>
      </c>
      <c r="J686" t="inlineStr">
        <is>
          <t>JOINT PRECISION AIR - 2K-M</t>
        </is>
      </c>
      <c r="K686" t="inlineStr">
        <is>
          <t>IS</t>
        </is>
      </c>
      <c r="L686" t="inlineStr">
        <is>
          <t>EA</t>
        </is>
      </c>
      <c r="M686" t="inlineStr">
        <is>
          <t>N</t>
        </is>
      </c>
      <c r="N686" t="n">
        <v>0</v>
      </c>
      <c r="O686" t="n">
        <v>0</v>
      </c>
      <c r="P686" t="n">
        <v>0</v>
      </c>
    </row>
    <row r="687">
      <c r="B687" t="n">
        <v>683</v>
      </c>
      <c r="C687" t="inlineStr">
        <is>
          <t>44112</t>
        </is>
      </c>
      <c r="D687" t="inlineStr">
        <is>
          <t>44112</t>
        </is>
      </c>
      <c r="G687" t="inlineStr">
        <is>
          <t>M29114</t>
        </is>
      </c>
      <c r="H687" t="inlineStr">
        <is>
          <t>C0029</t>
        </is>
      </c>
      <c r="I687" t="inlineStr">
        <is>
          <t>C00292F</t>
        </is>
      </c>
      <c r="J687" t="inlineStr">
        <is>
          <t>DRAWERS,COLD WEATHE - FRGFDR</t>
        </is>
      </c>
      <c r="K687" t="inlineStr">
        <is>
          <t>IS</t>
        </is>
      </c>
      <c r="L687" t="inlineStr">
        <is>
          <t>PR</t>
        </is>
      </c>
      <c r="M687" t="inlineStr">
        <is>
          <t>N</t>
        </is>
      </c>
      <c r="N687" t="n">
        <v>106</v>
      </c>
      <c r="O687" t="n">
        <v>0</v>
      </c>
      <c r="P687" t="n">
        <v>106</v>
      </c>
    </row>
    <row r="688">
      <c r="B688" t="n">
        <v>684</v>
      </c>
      <c r="C688" t="inlineStr">
        <is>
          <t>44112</t>
        </is>
      </c>
      <c r="D688" t="inlineStr">
        <is>
          <t>44112</t>
        </is>
      </c>
      <c r="G688" t="inlineStr">
        <is>
          <t>M29114</t>
        </is>
      </c>
      <c r="H688" t="inlineStr">
        <is>
          <t>C0035</t>
        </is>
      </c>
      <c r="I688" t="inlineStr">
        <is>
          <t>C00357B</t>
        </is>
      </c>
      <c r="J688" t="inlineStr">
        <is>
          <t>ENHANCED HEATING SY - ETRHS</t>
        </is>
      </c>
      <c r="K688" t="inlineStr">
        <is>
          <t>IS</t>
        </is>
      </c>
      <c r="L688" t="inlineStr">
        <is>
          <t>EA</t>
        </is>
      </c>
      <c r="M688" t="inlineStr">
        <is>
          <t>N</t>
        </is>
      </c>
      <c r="N688" t="n">
        <v>0</v>
      </c>
      <c r="O688" t="n">
        <v>2</v>
      </c>
      <c r="P688" t="n">
        <v>2</v>
      </c>
    </row>
    <row r="689">
      <c r="B689" t="n">
        <v>685</v>
      </c>
      <c r="C689" t="inlineStr">
        <is>
          <t>44112</t>
        </is>
      </c>
      <c r="D689" t="inlineStr">
        <is>
          <t>44112</t>
        </is>
      </c>
      <c r="G689" t="inlineStr">
        <is>
          <t>M29114</t>
        </is>
      </c>
      <c r="H689" t="inlineStr">
        <is>
          <t>C0040</t>
        </is>
      </c>
      <c r="I689" t="inlineStr">
        <is>
          <t>C00402E</t>
        </is>
      </c>
      <c r="J689" t="inlineStr">
        <is>
          <t>PAD,KNEE - MEDIUM</t>
        </is>
      </c>
      <c r="K689" t="inlineStr">
        <is>
          <t>IS</t>
        </is>
      </c>
      <c r="L689" t="inlineStr"/>
      <c r="M689" t="inlineStr">
        <is>
          <t>N</t>
        </is>
      </c>
      <c r="N689" t="n">
        <v>27</v>
      </c>
      <c r="O689" t="n">
        <v>0</v>
      </c>
      <c r="P689" t="n">
        <v>27</v>
      </c>
    </row>
    <row r="690">
      <c r="B690" t="n">
        <v>686</v>
      </c>
      <c r="C690" t="inlineStr">
        <is>
          <t>44112</t>
        </is>
      </c>
      <c r="D690" t="inlineStr">
        <is>
          <t>44112</t>
        </is>
      </c>
      <c r="G690" t="inlineStr">
        <is>
          <t>M29114</t>
        </is>
      </c>
      <c r="H690" t="inlineStr">
        <is>
          <t>C0041</t>
        </is>
      </c>
      <c r="I690" t="inlineStr">
        <is>
          <t>C00412E</t>
        </is>
      </c>
      <c r="J690" t="inlineStr">
        <is>
          <t>ELBOW PADS,EXTERNAL - SMALL</t>
        </is>
      </c>
      <c r="K690" t="inlineStr">
        <is>
          <t>IS</t>
        </is>
      </c>
      <c r="L690" t="inlineStr"/>
      <c r="M690" t="inlineStr">
        <is>
          <t>N</t>
        </is>
      </c>
      <c r="N690" t="n">
        <v>27</v>
      </c>
      <c r="O690" t="n">
        <v>0</v>
      </c>
      <c r="P690" t="n">
        <v>27</v>
      </c>
    </row>
    <row r="691">
      <c r="B691" t="n">
        <v>687</v>
      </c>
      <c r="C691" t="inlineStr">
        <is>
          <t>44112</t>
        </is>
      </c>
      <c r="D691" t="inlineStr">
        <is>
          <t>44112</t>
        </is>
      </c>
      <c r="G691" t="inlineStr">
        <is>
          <t>M29114</t>
        </is>
      </c>
      <c r="H691" t="inlineStr">
        <is>
          <t>C0057</t>
        </is>
      </c>
      <c r="I691" t="inlineStr">
        <is>
          <t>C00577B</t>
        </is>
      </c>
      <c r="J691" t="inlineStr">
        <is>
          <t>UNMANNED AIRCRAFT</t>
        </is>
      </c>
      <c r="K691" t="inlineStr">
        <is>
          <t>IS</t>
        </is>
      </c>
      <c r="L691" t="inlineStr">
        <is>
          <t>EA</t>
        </is>
      </c>
      <c r="M691" t="inlineStr">
        <is>
          <t>N</t>
        </is>
      </c>
      <c r="N691" t="n">
        <v>0</v>
      </c>
      <c r="O691" t="n">
        <v>2</v>
      </c>
      <c r="P691" t="n">
        <v>2</v>
      </c>
    </row>
    <row r="692">
      <c r="B692" t="n">
        <v>688</v>
      </c>
      <c r="C692" t="inlineStr">
        <is>
          <t>44112</t>
        </is>
      </c>
      <c r="D692" t="inlineStr">
        <is>
          <t>44112</t>
        </is>
      </c>
      <c r="G692" t="inlineStr">
        <is>
          <t>M29114</t>
        </is>
      </c>
      <c r="H692" t="inlineStr">
        <is>
          <t>C0061</t>
        </is>
      </c>
      <c r="I692" t="inlineStr">
        <is>
          <t>C00612F</t>
        </is>
      </c>
      <c r="J692" t="inlineStr">
        <is>
          <t>CARRIER,SMALL ARMS - PC GEN II</t>
        </is>
      </c>
      <c r="K692" t="inlineStr">
        <is>
          <t>IS</t>
        </is>
      </c>
      <c r="L692" t="inlineStr">
        <is>
          <t>EA</t>
        </is>
      </c>
      <c r="M692" t="inlineStr">
        <is>
          <t>N</t>
        </is>
      </c>
      <c r="N692" t="n">
        <v>106</v>
      </c>
      <c r="O692" t="n">
        <v>0</v>
      </c>
      <c r="P692" t="n">
        <v>106</v>
      </c>
    </row>
    <row r="693">
      <c r="B693" t="n">
        <v>689</v>
      </c>
      <c r="C693" t="inlineStr">
        <is>
          <t>44112</t>
        </is>
      </c>
      <c r="D693" t="inlineStr">
        <is>
          <t>44112</t>
        </is>
      </c>
      <c r="G693" t="inlineStr">
        <is>
          <t>M29114</t>
        </is>
      </c>
      <c r="H693" t="inlineStr">
        <is>
          <t>C0062</t>
        </is>
      </c>
      <c r="I693" t="inlineStr">
        <is>
          <t>C00622F</t>
        </is>
      </c>
      <c r="J693" t="inlineStr">
        <is>
          <t>COAT,CHEMICAL PROTE - UNIVERSAL COAT</t>
        </is>
      </c>
      <c r="K693" t="inlineStr">
        <is>
          <t>IS</t>
        </is>
      </c>
      <c r="L693" t="inlineStr">
        <is>
          <t>EA</t>
        </is>
      </c>
      <c r="M693" t="inlineStr">
        <is>
          <t>N</t>
        </is>
      </c>
      <c r="N693" t="n">
        <v>212</v>
      </c>
      <c r="O693" t="n">
        <v>0</v>
      </c>
      <c r="P693" t="n">
        <v>212</v>
      </c>
    </row>
    <row r="694">
      <c r="B694" t="n">
        <v>690</v>
      </c>
      <c r="C694" t="inlineStr">
        <is>
          <t>44112</t>
        </is>
      </c>
      <c r="D694" t="inlineStr">
        <is>
          <t>44112</t>
        </is>
      </c>
      <c r="G694" t="inlineStr">
        <is>
          <t>M29114</t>
        </is>
      </c>
      <c r="H694" t="inlineStr">
        <is>
          <t>C0063</t>
        </is>
      </c>
      <c r="I694" t="inlineStr">
        <is>
          <t>C00632F</t>
        </is>
      </c>
      <c r="J694" t="inlineStr">
        <is>
          <t>TROUSERS,CHEMICAL P - UNIVERSAL TROU</t>
        </is>
      </c>
      <c r="K694" t="inlineStr">
        <is>
          <t>IS</t>
        </is>
      </c>
      <c r="L694" t="inlineStr">
        <is>
          <t>PR</t>
        </is>
      </c>
      <c r="M694" t="inlineStr">
        <is>
          <t>N</t>
        </is>
      </c>
      <c r="N694" t="n">
        <v>212</v>
      </c>
      <c r="O694" t="n">
        <v>0</v>
      </c>
      <c r="P694" t="n">
        <v>212</v>
      </c>
    </row>
    <row r="695">
      <c r="B695" t="n">
        <v>691</v>
      </c>
      <c r="C695" t="inlineStr">
        <is>
          <t>44112</t>
        </is>
      </c>
      <c r="D695" t="inlineStr">
        <is>
          <t>44112</t>
        </is>
      </c>
      <c r="G695" t="inlineStr">
        <is>
          <t>M29114</t>
        </is>
      </c>
      <c r="H695" t="inlineStr">
        <is>
          <t>C0074</t>
        </is>
      </c>
      <c r="I695" t="inlineStr">
        <is>
          <t>C00742E</t>
        </is>
      </c>
      <c r="J695" t="inlineStr">
        <is>
          <t>FLASHLIGHT - 14032</t>
        </is>
      </c>
      <c r="K695" t="inlineStr">
        <is>
          <t>IS</t>
        </is>
      </c>
      <c r="L695" t="inlineStr">
        <is>
          <t>EA</t>
        </is>
      </c>
      <c r="M695" t="inlineStr">
        <is>
          <t>N</t>
        </is>
      </c>
      <c r="N695" t="n">
        <v>106</v>
      </c>
      <c r="O695" t="n">
        <v>0</v>
      </c>
      <c r="P695" t="n">
        <v>106</v>
      </c>
    </row>
    <row r="696">
      <c r="B696" t="n">
        <v>692</v>
      </c>
      <c r="C696" t="inlineStr">
        <is>
          <t>44112</t>
        </is>
      </c>
      <c r="D696" t="inlineStr">
        <is>
          <t>44112</t>
        </is>
      </c>
      <c r="G696" t="inlineStr">
        <is>
          <t>M29114</t>
        </is>
      </c>
      <c r="H696" t="inlineStr">
        <is>
          <t>C0077</t>
        </is>
      </c>
      <c r="I696" t="inlineStr">
        <is>
          <t>C00772E</t>
        </is>
      </c>
      <c r="J696" t="inlineStr">
        <is>
          <t>COLLAPSIBLE JMIC 3. - TAN</t>
        </is>
      </c>
      <c r="K696" t="inlineStr">
        <is>
          <t>IS</t>
        </is>
      </c>
      <c r="L696" t="inlineStr">
        <is>
          <t>EA</t>
        </is>
      </c>
      <c r="M696" t="inlineStr">
        <is>
          <t>N</t>
        </is>
      </c>
      <c r="N696" t="n">
        <v>0</v>
      </c>
      <c r="O696" t="n">
        <v>25</v>
      </c>
      <c r="P696" t="n">
        <v>25</v>
      </c>
    </row>
    <row r="697">
      <c r="B697" t="n">
        <v>693</v>
      </c>
      <c r="C697" t="inlineStr">
        <is>
          <t>44112</t>
        </is>
      </c>
      <c r="D697" t="inlineStr">
        <is>
          <t>44112</t>
        </is>
      </c>
      <c r="G697" t="inlineStr">
        <is>
          <t>M29114</t>
        </is>
      </c>
      <c r="H697" t="inlineStr">
        <is>
          <t>C0083</t>
        </is>
      </c>
      <c r="I697" t="inlineStr">
        <is>
          <t>C00832E</t>
        </is>
      </c>
      <c r="J697" t="inlineStr">
        <is>
          <t>STRAP CUTTER,RESCUE - 1431</t>
        </is>
      </c>
      <c r="K697" t="inlineStr">
        <is>
          <t>IS</t>
        </is>
      </c>
      <c r="L697" t="inlineStr">
        <is>
          <t>EA</t>
        </is>
      </c>
      <c r="M697" t="inlineStr">
        <is>
          <t>N</t>
        </is>
      </c>
      <c r="N697" t="n">
        <v>106</v>
      </c>
      <c r="O697" t="n">
        <v>0</v>
      </c>
      <c r="P697" t="n">
        <v>106</v>
      </c>
    </row>
    <row r="698">
      <c r="B698" t="n">
        <v>694</v>
      </c>
      <c r="C698" t="inlineStr">
        <is>
          <t>44112</t>
        </is>
      </c>
      <c r="D698" t="inlineStr">
        <is>
          <t>44112</t>
        </is>
      </c>
      <c r="G698" t="inlineStr">
        <is>
          <t>M29114</t>
        </is>
      </c>
      <c r="H698" t="inlineStr">
        <is>
          <t>C0115</t>
        </is>
      </c>
      <c r="I698" t="inlineStr">
        <is>
          <t>C01152F</t>
        </is>
      </c>
      <c r="J698" t="inlineStr">
        <is>
          <t>DRAWERS,COLD WEATHE - FRDRCW</t>
        </is>
      </c>
      <c r="K698" t="inlineStr">
        <is>
          <t>IS</t>
        </is>
      </c>
      <c r="L698" t="inlineStr">
        <is>
          <t>PR</t>
        </is>
      </c>
      <c r="M698" t="inlineStr">
        <is>
          <t>N</t>
        </is>
      </c>
      <c r="N698" t="n">
        <v>212</v>
      </c>
      <c r="O698" t="n">
        <v>0</v>
      </c>
      <c r="P698" t="n">
        <v>212</v>
      </c>
    </row>
    <row r="699">
      <c r="B699" t="n">
        <v>695</v>
      </c>
      <c r="C699" t="inlineStr">
        <is>
          <t>44112</t>
        </is>
      </c>
      <c r="D699" t="inlineStr">
        <is>
          <t>44112</t>
        </is>
      </c>
      <c r="G699" t="inlineStr">
        <is>
          <t>M29114</t>
        </is>
      </c>
      <c r="H699" t="inlineStr">
        <is>
          <t>C0116</t>
        </is>
      </c>
      <c r="I699" t="inlineStr">
        <is>
          <t>C01162F</t>
        </is>
      </c>
      <c r="J699" t="inlineStr">
        <is>
          <t>UNDERSHIRT,COLD WEA - FRUSHCW</t>
        </is>
      </c>
      <c r="K699" t="inlineStr">
        <is>
          <t>IS</t>
        </is>
      </c>
      <c r="L699" t="inlineStr">
        <is>
          <t>EA</t>
        </is>
      </c>
      <c r="M699" t="inlineStr">
        <is>
          <t>N</t>
        </is>
      </c>
      <c r="N699" t="n">
        <v>212</v>
      </c>
      <c r="O699" t="n">
        <v>0</v>
      </c>
      <c r="P699" t="n">
        <v>212</v>
      </c>
    </row>
    <row r="700">
      <c r="B700" t="n">
        <v>696</v>
      </c>
      <c r="C700" t="inlineStr">
        <is>
          <t>44112</t>
        </is>
      </c>
      <c r="D700" t="inlineStr">
        <is>
          <t>44112</t>
        </is>
      </c>
      <c r="G700" t="inlineStr">
        <is>
          <t>M29114</t>
        </is>
      </c>
      <c r="H700" t="inlineStr">
        <is>
          <t>C0117</t>
        </is>
      </c>
      <c r="I700" t="inlineStr">
        <is>
          <t>C01172F</t>
        </is>
      </c>
      <c r="J700" t="inlineStr">
        <is>
          <t>SHIRT,COLD WEATHER - FRGFP07</t>
        </is>
      </c>
      <c r="K700" t="inlineStr">
        <is>
          <t>IS</t>
        </is>
      </c>
      <c r="L700" t="inlineStr">
        <is>
          <t>EA</t>
        </is>
      </c>
      <c r="M700" t="inlineStr">
        <is>
          <t>N</t>
        </is>
      </c>
      <c r="N700" t="n">
        <v>106</v>
      </c>
      <c r="O700" t="n">
        <v>0</v>
      </c>
      <c r="P700" t="n">
        <v>106</v>
      </c>
    </row>
    <row r="701">
      <c r="B701" t="n">
        <v>697</v>
      </c>
      <c r="C701" t="inlineStr">
        <is>
          <t>44112</t>
        </is>
      </c>
      <c r="D701" t="inlineStr">
        <is>
          <t>44112</t>
        </is>
      </c>
      <c r="G701" t="inlineStr">
        <is>
          <t>M29114</t>
        </is>
      </c>
      <c r="H701" t="inlineStr">
        <is>
          <t>C0120</t>
        </is>
      </c>
      <c r="I701" t="inlineStr">
        <is>
          <t>C01202E</t>
        </is>
      </c>
      <c r="J701" t="inlineStr">
        <is>
          <t>HELMET,GROUND TROOP - ECH</t>
        </is>
      </c>
      <c r="K701" t="inlineStr">
        <is>
          <t>IS</t>
        </is>
      </c>
      <c r="L701" t="inlineStr">
        <is>
          <t>EA</t>
        </is>
      </c>
      <c r="M701" t="inlineStr">
        <is>
          <t>N</t>
        </is>
      </c>
      <c r="N701" t="n">
        <v>106</v>
      </c>
      <c r="O701" t="n">
        <v>0</v>
      </c>
      <c r="P701" t="n">
        <v>106</v>
      </c>
    </row>
    <row r="702">
      <c r="B702" t="n">
        <v>698</v>
      </c>
      <c r="C702" t="inlineStr">
        <is>
          <t>44112</t>
        </is>
      </c>
      <c r="D702" t="inlineStr">
        <is>
          <t>44112</t>
        </is>
      </c>
      <c r="G702" t="inlineStr">
        <is>
          <t>M29114</t>
        </is>
      </c>
      <c r="H702" t="inlineStr">
        <is>
          <t>C0132</t>
        </is>
      </c>
      <c r="I702" t="inlineStr">
        <is>
          <t>C01322B</t>
        </is>
      </c>
      <c r="J702" t="inlineStr">
        <is>
          <t>PAPER,CHEMICAL AGEN - M8</t>
        </is>
      </c>
      <c r="K702" t="inlineStr">
        <is>
          <t>IS</t>
        </is>
      </c>
      <c r="L702" t="inlineStr">
        <is>
          <t>BK</t>
        </is>
      </c>
      <c r="M702" t="inlineStr">
        <is>
          <t>N</t>
        </is>
      </c>
      <c r="N702" t="n">
        <v>106</v>
      </c>
      <c r="O702" t="n">
        <v>0</v>
      </c>
      <c r="P702" t="n">
        <v>106</v>
      </c>
    </row>
    <row r="703">
      <c r="B703" t="n">
        <v>699</v>
      </c>
      <c r="C703" t="inlineStr">
        <is>
          <t>44112</t>
        </is>
      </c>
      <c r="D703" t="inlineStr">
        <is>
          <t>44112</t>
        </is>
      </c>
      <c r="G703" t="inlineStr">
        <is>
          <t>M29114</t>
        </is>
      </c>
      <c r="H703" t="inlineStr">
        <is>
          <t>C0135</t>
        </is>
      </c>
      <c r="I703" t="inlineStr">
        <is>
          <t>C01352F</t>
        </is>
      </c>
      <c r="J703" t="inlineStr">
        <is>
          <t>BOOTS,COLD WEATHER - C/W RAT</t>
        </is>
      </c>
      <c r="K703" t="inlineStr">
        <is>
          <t>IS</t>
        </is>
      </c>
      <c r="L703" t="inlineStr">
        <is>
          <t>EA</t>
        </is>
      </c>
      <c r="M703" t="inlineStr">
        <is>
          <t>N</t>
        </is>
      </c>
      <c r="N703" t="n">
        <v>106</v>
      </c>
      <c r="O703" t="n">
        <v>0</v>
      </c>
      <c r="P703" t="n">
        <v>106</v>
      </c>
    </row>
    <row r="704">
      <c r="B704" t="n">
        <v>700</v>
      </c>
      <c r="C704" t="inlineStr">
        <is>
          <t>44112</t>
        </is>
      </c>
      <c r="D704" t="inlineStr">
        <is>
          <t>44112</t>
        </is>
      </c>
      <c r="G704" t="inlineStr">
        <is>
          <t>M29114</t>
        </is>
      </c>
      <c r="H704" t="inlineStr">
        <is>
          <t>C0136</t>
        </is>
      </c>
      <c r="I704" t="inlineStr">
        <is>
          <t>C01362F</t>
        </is>
      </c>
      <c r="J704" t="inlineStr">
        <is>
          <t>BOOTS,HOT WEATHER - H/W RAT</t>
        </is>
      </c>
      <c r="K704" t="inlineStr">
        <is>
          <t>IS</t>
        </is>
      </c>
      <c r="L704" t="inlineStr">
        <is>
          <t>EA</t>
        </is>
      </c>
      <c r="M704" t="inlineStr">
        <is>
          <t>N</t>
        </is>
      </c>
      <c r="N704" t="n">
        <v>106</v>
      </c>
      <c r="O704" t="n">
        <v>0</v>
      </c>
      <c r="P704" t="n">
        <v>106</v>
      </c>
    </row>
    <row r="705">
      <c r="B705" t="n">
        <v>701</v>
      </c>
      <c r="C705" t="inlineStr">
        <is>
          <t>44112</t>
        </is>
      </c>
      <c r="D705" t="inlineStr">
        <is>
          <t>44112</t>
        </is>
      </c>
      <c r="G705" t="inlineStr">
        <is>
          <t>M29114</t>
        </is>
      </c>
      <c r="H705" t="inlineStr">
        <is>
          <t>C0137</t>
        </is>
      </c>
      <c r="I705" t="inlineStr">
        <is>
          <t>C01372F</t>
        </is>
      </c>
      <c r="J705" t="inlineStr">
        <is>
          <t>JACKET,COMBAT - N/A</t>
        </is>
      </c>
      <c r="K705" t="inlineStr">
        <is>
          <t>IS</t>
        </is>
      </c>
      <c r="L705" t="inlineStr">
        <is>
          <t>EA</t>
        </is>
      </c>
      <c r="M705" t="inlineStr">
        <is>
          <t>N</t>
        </is>
      </c>
      <c r="N705" t="n">
        <v>106</v>
      </c>
      <c r="O705" t="n">
        <v>0</v>
      </c>
      <c r="P705" t="n">
        <v>106</v>
      </c>
    </row>
    <row r="706">
      <c r="B706" t="n">
        <v>702</v>
      </c>
      <c r="C706" t="inlineStr">
        <is>
          <t>44112</t>
        </is>
      </c>
      <c r="D706" t="inlineStr">
        <is>
          <t>44112</t>
        </is>
      </c>
      <c r="G706" t="inlineStr">
        <is>
          <t>M29114</t>
        </is>
      </c>
      <c r="H706" t="inlineStr">
        <is>
          <t>C0169</t>
        </is>
      </c>
      <c r="I706" t="inlineStr">
        <is>
          <t>C01692F</t>
        </is>
      </c>
      <c r="J706" t="inlineStr">
        <is>
          <t>MAT,SLEEPING - ISM</t>
        </is>
      </c>
      <c r="K706" t="inlineStr">
        <is>
          <t>IS</t>
        </is>
      </c>
      <c r="L706" t="inlineStr">
        <is>
          <t>EA</t>
        </is>
      </c>
      <c r="M706" t="inlineStr">
        <is>
          <t>N</t>
        </is>
      </c>
      <c r="N706" t="n">
        <v>106</v>
      </c>
      <c r="O706" t="n">
        <v>0</v>
      </c>
      <c r="P706" t="n">
        <v>106</v>
      </c>
    </row>
    <row r="707">
      <c r="B707" t="n">
        <v>703</v>
      </c>
      <c r="C707" t="inlineStr">
        <is>
          <t>44112</t>
        </is>
      </c>
      <c r="D707" t="inlineStr">
        <is>
          <t>44112</t>
        </is>
      </c>
      <c r="G707" t="inlineStr">
        <is>
          <t>M29114</t>
        </is>
      </c>
      <c r="H707" t="inlineStr">
        <is>
          <t>C0170</t>
        </is>
      </c>
      <c r="I707" t="inlineStr">
        <is>
          <t>C01702F</t>
        </is>
      </c>
      <c r="J707" t="inlineStr">
        <is>
          <t>LINER,WET WEATHER P - N/A</t>
        </is>
      </c>
      <c r="K707" t="inlineStr">
        <is>
          <t>IS</t>
        </is>
      </c>
      <c r="L707" t="inlineStr">
        <is>
          <t>EA</t>
        </is>
      </c>
      <c r="M707" t="inlineStr">
        <is>
          <t>N</t>
        </is>
      </c>
      <c r="N707" t="n">
        <v>106</v>
      </c>
      <c r="O707" t="n">
        <v>0</v>
      </c>
      <c r="P707" t="n">
        <v>106</v>
      </c>
    </row>
    <row r="708">
      <c r="B708" t="n">
        <v>704</v>
      </c>
      <c r="C708" t="inlineStr">
        <is>
          <t>44112</t>
        </is>
      </c>
      <c r="D708" t="inlineStr">
        <is>
          <t>44112</t>
        </is>
      </c>
      <c r="G708" t="inlineStr">
        <is>
          <t>M29114</t>
        </is>
      </c>
      <c r="H708" t="inlineStr">
        <is>
          <t>C0180</t>
        </is>
      </c>
      <c r="I708" t="inlineStr">
        <is>
          <t>C01802F</t>
        </is>
      </c>
      <c r="J708" t="inlineStr">
        <is>
          <t>BELT,INDIVIDUAL EQU - N/A</t>
        </is>
      </c>
      <c r="K708" t="inlineStr">
        <is>
          <t>IS</t>
        </is>
      </c>
      <c r="L708" t="inlineStr">
        <is>
          <t>EA</t>
        </is>
      </c>
      <c r="M708" t="inlineStr">
        <is>
          <t>N</t>
        </is>
      </c>
      <c r="N708" t="n">
        <v>106</v>
      </c>
      <c r="O708" t="n">
        <v>0</v>
      </c>
      <c r="P708" t="n">
        <v>106</v>
      </c>
    </row>
    <row r="709">
      <c r="B709" t="n">
        <v>705</v>
      </c>
      <c r="C709" t="inlineStr">
        <is>
          <t>44112</t>
        </is>
      </c>
      <c r="D709" t="inlineStr">
        <is>
          <t>44112</t>
        </is>
      </c>
      <c r="G709" t="inlineStr">
        <is>
          <t>M29114</t>
        </is>
      </c>
      <c r="H709" t="inlineStr">
        <is>
          <t>C0187</t>
        </is>
      </c>
      <c r="I709" t="inlineStr">
        <is>
          <t>C01877B</t>
        </is>
      </c>
      <c r="J709" t="inlineStr">
        <is>
          <t>SHIPPING AND STORAG - CMCI377</t>
        </is>
      </c>
      <c r="K709" t="inlineStr">
        <is>
          <t>IS</t>
        </is>
      </c>
      <c r="L709" t="inlineStr">
        <is>
          <t>EA</t>
        </is>
      </c>
      <c r="M709" t="inlineStr">
        <is>
          <t>N</t>
        </is>
      </c>
      <c r="N709" t="n">
        <v>0</v>
      </c>
      <c r="O709" t="n">
        <v>2</v>
      </c>
      <c r="P709" t="n">
        <v>2</v>
      </c>
    </row>
    <row r="710">
      <c r="B710" t="n">
        <v>706</v>
      </c>
      <c r="C710" t="inlineStr">
        <is>
          <t>44112</t>
        </is>
      </c>
      <c r="D710" t="inlineStr">
        <is>
          <t>44112</t>
        </is>
      </c>
      <c r="G710" t="inlineStr">
        <is>
          <t>M29114</t>
        </is>
      </c>
      <c r="H710" t="inlineStr">
        <is>
          <t>C0188</t>
        </is>
      </c>
      <c r="I710" t="inlineStr">
        <is>
          <t>C01882F</t>
        </is>
      </c>
      <c r="J710" t="inlineStr">
        <is>
          <t>No Item Name Availa - N/A</t>
        </is>
      </c>
      <c r="K710" t="inlineStr">
        <is>
          <t>IS</t>
        </is>
      </c>
      <c r="L710" t="inlineStr"/>
      <c r="M710" t="inlineStr">
        <is>
          <t>N</t>
        </is>
      </c>
      <c r="N710" t="n">
        <v>0</v>
      </c>
      <c r="O710" t="n">
        <v>0</v>
      </c>
      <c r="P710" t="n">
        <v>0</v>
      </c>
    </row>
    <row r="711">
      <c r="B711" t="n">
        <v>707</v>
      </c>
      <c r="C711" t="inlineStr">
        <is>
          <t>44112</t>
        </is>
      </c>
      <c r="D711" t="inlineStr">
        <is>
          <t>44112</t>
        </is>
      </c>
      <c r="G711" t="inlineStr">
        <is>
          <t>M29114</t>
        </is>
      </c>
      <c r="H711" t="inlineStr">
        <is>
          <t>C0189</t>
        </is>
      </c>
      <c r="I711" t="inlineStr">
        <is>
          <t>C01892F</t>
        </is>
      </c>
      <c r="J711" t="inlineStr">
        <is>
          <t>POUCH,MONOCULAR NIG - N/A</t>
        </is>
      </c>
      <c r="K711" t="inlineStr">
        <is>
          <t>IS</t>
        </is>
      </c>
      <c r="L711" t="inlineStr">
        <is>
          <t>EA</t>
        </is>
      </c>
      <c r="M711" t="inlineStr">
        <is>
          <t>N</t>
        </is>
      </c>
      <c r="N711" t="n">
        <v>104</v>
      </c>
      <c r="O711" t="n">
        <v>0</v>
      </c>
      <c r="P711" t="n">
        <v>104</v>
      </c>
    </row>
    <row r="712">
      <c r="B712" t="n">
        <v>708</v>
      </c>
      <c r="C712" t="inlineStr">
        <is>
          <t>44112</t>
        </is>
      </c>
      <c r="D712" t="inlineStr">
        <is>
          <t>44112</t>
        </is>
      </c>
      <c r="G712" t="inlineStr">
        <is>
          <t>M29114</t>
        </is>
      </c>
      <c r="H712" t="inlineStr">
        <is>
          <t>C0190</t>
        </is>
      </c>
      <c r="I712" t="inlineStr">
        <is>
          <t>C01902F</t>
        </is>
      </c>
      <c r="J712" t="inlineStr">
        <is>
          <t>POUCH,TACTICAL HAND - N/A</t>
        </is>
      </c>
      <c r="K712" t="inlineStr">
        <is>
          <t>IS</t>
        </is>
      </c>
      <c r="L712" t="inlineStr">
        <is>
          <t>EA</t>
        </is>
      </c>
      <c r="M712" t="inlineStr">
        <is>
          <t>N</t>
        </is>
      </c>
      <c r="N712" t="n">
        <v>0</v>
      </c>
      <c r="O712" t="n">
        <v>0</v>
      </c>
      <c r="P712" t="n">
        <v>0</v>
      </c>
    </row>
    <row r="713">
      <c r="B713" t="n">
        <v>709</v>
      </c>
      <c r="C713" t="inlineStr">
        <is>
          <t>44112</t>
        </is>
      </c>
      <c r="D713" t="inlineStr">
        <is>
          <t>44112</t>
        </is>
      </c>
      <c r="G713" t="inlineStr">
        <is>
          <t>M29114</t>
        </is>
      </c>
      <c r="H713" t="inlineStr">
        <is>
          <t>C0191</t>
        </is>
      </c>
      <c r="I713" t="inlineStr">
        <is>
          <t>C01912F</t>
        </is>
      </c>
      <c r="J713" t="inlineStr">
        <is>
          <t>CANTEEN,GENERAL PUR - 4015CB</t>
        </is>
      </c>
      <c r="K713" t="inlineStr">
        <is>
          <t>IS</t>
        </is>
      </c>
      <c r="L713" t="inlineStr">
        <is>
          <t>EA</t>
        </is>
      </c>
      <c r="M713" t="inlineStr">
        <is>
          <t>N</t>
        </is>
      </c>
      <c r="N713" t="n">
        <v>212</v>
      </c>
      <c r="O713" t="n">
        <v>0</v>
      </c>
      <c r="P713" t="n">
        <v>212</v>
      </c>
    </row>
    <row r="714">
      <c r="B714" t="n">
        <v>710</v>
      </c>
      <c r="C714" t="inlineStr">
        <is>
          <t>44112</t>
        </is>
      </c>
      <c r="D714" t="inlineStr">
        <is>
          <t>44112</t>
        </is>
      </c>
      <c r="G714" t="inlineStr">
        <is>
          <t>M29114</t>
        </is>
      </c>
      <c r="H714" t="inlineStr">
        <is>
          <t>C0218</t>
        </is>
      </c>
      <c r="I714" t="inlineStr">
        <is>
          <t>C02182B</t>
        </is>
      </c>
      <c r="J714" t="inlineStr">
        <is>
          <t>DECONTAMINATION KIT - 10038819</t>
        </is>
      </c>
      <c r="K714" t="inlineStr">
        <is>
          <t>IS</t>
        </is>
      </c>
      <c r="L714" t="inlineStr">
        <is>
          <t>BX</t>
        </is>
      </c>
      <c r="M714" t="inlineStr">
        <is>
          <t>N</t>
        </is>
      </c>
      <c r="N714" t="n">
        <v>2</v>
      </c>
      <c r="O714" t="n">
        <v>0</v>
      </c>
      <c r="P714" t="n">
        <v>2</v>
      </c>
    </row>
    <row r="715">
      <c r="B715" t="n">
        <v>711</v>
      </c>
      <c r="C715" t="inlineStr">
        <is>
          <t>44112</t>
        </is>
      </c>
      <c r="D715" t="inlineStr">
        <is>
          <t>44112</t>
        </is>
      </c>
      <c r="G715" t="inlineStr">
        <is>
          <t>M29114</t>
        </is>
      </c>
      <c r="H715" t="inlineStr">
        <is>
          <t>C0222</t>
        </is>
      </c>
      <c r="I715" t="inlineStr">
        <is>
          <t>C02222F</t>
        </is>
      </c>
      <c r="J715" t="inlineStr">
        <is>
          <t>HELMET,GROUND TROOP - HC ECH</t>
        </is>
      </c>
      <c r="K715" t="inlineStr">
        <is>
          <t>IS</t>
        </is>
      </c>
      <c r="L715" t="inlineStr">
        <is>
          <t>EA</t>
        </is>
      </c>
      <c r="M715" t="inlineStr">
        <is>
          <t>N</t>
        </is>
      </c>
      <c r="N715" t="n">
        <v>0</v>
      </c>
      <c r="O715" t="n">
        <v>0</v>
      </c>
      <c r="P715" t="n">
        <v>0</v>
      </c>
    </row>
    <row r="716">
      <c r="B716" t="n">
        <v>712</v>
      </c>
      <c r="C716" t="inlineStr">
        <is>
          <t>44112</t>
        </is>
      </c>
      <c r="D716" t="inlineStr">
        <is>
          <t>44112</t>
        </is>
      </c>
      <c r="G716" t="inlineStr">
        <is>
          <t>M29114</t>
        </is>
      </c>
      <c r="H716" t="inlineStr">
        <is>
          <t>C0246</t>
        </is>
      </c>
      <c r="I716" t="inlineStr">
        <is>
          <t>C02462B</t>
        </is>
      </c>
      <c r="J716" t="inlineStr">
        <is>
          <t>HELICOPTER SUPPORT TEAM (HST) KIT</t>
        </is>
      </c>
      <c r="K716" t="inlineStr">
        <is>
          <t>PL</t>
        </is>
      </c>
      <c r="L716" t="inlineStr"/>
      <c r="M716" t="inlineStr">
        <is>
          <t>N</t>
        </is>
      </c>
      <c r="N716" t="n">
        <v>0</v>
      </c>
      <c r="O716" t="n">
        <v>1</v>
      </c>
      <c r="P716" t="n">
        <v>1</v>
      </c>
    </row>
    <row r="717">
      <c r="B717" t="n">
        <v>713</v>
      </c>
      <c r="C717" t="inlineStr">
        <is>
          <t>44112</t>
        </is>
      </c>
      <c r="D717" t="inlineStr">
        <is>
          <t>44112</t>
        </is>
      </c>
      <c r="G717" t="inlineStr">
        <is>
          <t>M29114</t>
        </is>
      </c>
      <c r="H717" t="inlineStr">
        <is>
          <t>C0247</t>
        </is>
      </c>
      <c r="I717" t="inlineStr">
        <is>
          <t>C02472Z</t>
        </is>
      </c>
      <c r="J717" t="inlineStr">
        <is>
          <t>JOINT SERVICE GENERAL PURPOSE MASK, FIELD (M50) - M50</t>
        </is>
      </c>
      <c r="K717" t="inlineStr">
        <is>
          <t>PL</t>
        </is>
      </c>
      <c r="L717" t="inlineStr"/>
      <c r="M717" t="inlineStr">
        <is>
          <t>N</t>
        </is>
      </c>
      <c r="N717" t="n">
        <v>106</v>
      </c>
      <c r="O717" t="n">
        <v>0</v>
      </c>
      <c r="P717" t="n">
        <v>106</v>
      </c>
    </row>
    <row r="718">
      <c r="B718" t="n">
        <v>714</v>
      </c>
      <c r="C718" t="inlineStr">
        <is>
          <t>44112</t>
        </is>
      </c>
      <c r="D718" t="inlineStr">
        <is>
          <t>44112</t>
        </is>
      </c>
      <c r="G718" t="inlineStr">
        <is>
          <t>M29114</t>
        </is>
      </c>
      <c r="H718" t="inlineStr">
        <is>
          <t>C0260</t>
        </is>
      </c>
      <c r="I718" t="inlineStr">
        <is>
          <t>C02602F</t>
        </is>
      </c>
      <c r="J718" t="inlineStr">
        <is>
          <t>GAITER,NECK - A-A-55247</t>
        </is>
      </c>
      <c r="K718" t="inlineStr">
        <is>
          <t>IS</t>
        </is>
      </c>
      <c r="L718" t="inlineStr">
        <is>
          <t>EA</t>
        </is>
      </c>
      <c r="M718" t="inlineStr">
        <is>
          <t>N</t>
        </is>
      </c>
      <c r="N718" t="n">
        <v>106</v>
      </c>
      <c r="O718" t="n">
        <v>0</v>
      </c>
      <c r="P718" t="n">
        <v>106</v>
      </c>
    </row>
    <row r="719">
      <c r="B719" t="n">
        <v>715</v>
      </c>
      <c r="C719" t="inlineStr">
        <is>
          <t>44112</t>
        </is>
      </c>
      <c r="D719" t="inlineStr">
        <is>
          <t>44112</t>
        </is>
      </c>
      <c r="G719" t="inlineStr">
        <is>
          <t>M29114</t>
        </is>
      </c>
      <c r="H719" t="inlineStr">
        <is>
          <t>C1023</t>
        </is>
      </c>
      <c r="I719" t="inlineStr">
        <is>
          <t>C10232F</t>
        </is>
      </c>
      <c r="J719" t="inlineStr">
        <is>
          <t>HOOD,COMBAT VEHICLE - MIL-H-44265</t>
        </is>
      </c>
      <c r="K719" t="inlineStr">
        <is>
          <t>IS</t>
        </is>
      </c>
      <c r="L719" t="inlineStr"/>
      <c r="M719" t="inlineStr">
        <is>
          <t>N</t>
        </is>
      </c>
      <c r="N719" t="n">
        <v>0</v>
      </c>
      <c r="O719" t="n">
        <v>0</v>
      </c>
      <c r="P719" t="n">
        <v>0</v>
      </c>
    </row>
    <row r="720">
      <c r="B720" t="n">
        <v>716</v>
      </c>
      <c r="C720" t="inlineStr">
        <is>
          <t>44112</t>
        </is>
      </c>
      <c r="D720" t="inlineStr">
        <is>
          <t>44112</t>
        </is>
      </c>
      <c r="G720" t="inlineStr">
        <is>
          <t>M29114</t>
        </is>
      </c>
      <c r="H720" t="inlineStr">
        <is>
          <t>C1055</t>
        </is>
      </c>
      <c r="I720" t="inlineStr">
        <is>
          <t>C10552F</t>
        </is>
      </c>
      <c r="J720" t="inlineStr">
        <is>
          <t>CAP,COLD WEATHER - CR/PD01-09</t>
        </is>
      </c>
      <c r="K720" t="inlineStr">
        <is>
          <t>IS</t>
        </is>
      </c>
      <c r="L720" t="inlineStr">
        <is>
          <t>EA</t>
        </is>
      </c>
      <c r="M720" t="inlineStr">
        <is>
          <t>N</t>
        </is>
      </c>
      <c r="N720" t="n">
        <v>106</v>
      </c>
      <c r="O720" t="n">
        <v>0</v>
      </c>
      <c r="P720" t="n">
        <v>106</v>
      </c>
    </row>
    <row r="721">
      <c r="B721" t="n">
        <v>717</v>
      </c>
      <c r="C721" t="inlineStr">
        <is>
          <t>44112</t>
        </is>
      </c>
      <c r="D721" t="inlineStr">
        <is>
          <t>44112</t>
        </is>
      </c>
      <c r="G721" t="inlineStr">
        <is>
          <t>M29114</t>
        </is>
      </c>
      <c r="H721" t="inlineStr">
        <is>
          <t>C1107</t>
        </is>
      </c>
      <c r="I721" t="inlineStr">
        <is>
          <t>C11072F</t>
        </is>
      </c>
      <c r="J721" t="inlineStr">
        <is>
          <t>GLOVES,MEN'S AND WO - SIZE 3</t>
        </is>
      </c>
      <c r="K721" t="inlineStr">
        <is>
          <t>IS</t>
        </is>
      </c>
      <c r="L721" t="inlineStr">
        <is>
          <t>PR</t>
        </is>
      </c>
      <c r="M721" t="inlineStr">
        <is>
          <t>N</t>
        </is>
      </c>
      <c r="N721" t="n">
        <v>106</v>
      </c>
      <c r="O721" t="n">
        <v>0</v>
      </c>
      <c r="P721" t="n">
        <v>106</v>
      </c>
    </row>
    <row r="722">
      <c r="B722" t="n">
        <v>718</v>
      </c>
      <c r="C722" t="inlineStr">
        <is>
          <t>44112</t>
        </is>
      </c>
      <c r="D722" t="inlineStr">
        <is>
          <t>44112</t>
        </is>
      </c>
      <c r="G722" t="inlineStr">
        <is>
          <t>M29114</t>
        </is>
      </c>
      <c r="H722" t="inlineStr">
        <is>
          <t>C1120</t>
        </is>
      </c>
      <c r="I722" t="inlineStr">
        <is>
          <t>C11202F</t>
        </is>
      </c>
      <c r="J722" t="inlineStr">
        <is>
          <t>GLOVE INSERTS,COLD - 70113</t>
        </is>
      </c>
      <c r="K722" t="inlineStr">
        <is>
          <t>IS</t>
        </is>
      </c>
      <c r="L722" t="inlineStr">
        <is>
          <t>PR</t>
        </is>
      </c>
      <c r="M722" t="inlineStr">
        <is>
          <t>N</t>
        </is>
      </c>
      <c r="N722" t="n">
        <v>212</v>
      </c>
      <c r="O722" t="n">
        <v>0</v>
      </c>
      <c r="P722" t="n">
        <v>212</v>
      </c>
    </row>
    <row r="723">
      <c r="B723" t="n">
        <v>719</v>
      </c>
      <c r="C723" t="inlineStr">
        <is>
          <t>44112</t>
        </is>
      </c>
      <c r="D723" t="inlineStr">
        <is>
          <t>44112</t>
        </is>
      </c>
      <c r="G723" t="inlineStr">
        <is>
          <t>M29114</t>
        </is>
      </c>
      <c r="H723" t="inlineStr">
        <is>
          <t>C2130</t>
        </is>
      </c>
      <c r="I723" t="inlineStr">
        <is>
          <t>C21302F</t>
        </is>
      </c>
      <c r="J723" t="inlineStr">
        <is>
          <t>OVERSHOES,NUCLEAR,B - MALO</t>
        </is>
      </c>
      <c r="K723" t="inlineStr">
        <is>
          <t>IS</t>
        </is>
      </c>
      <c r="L723" t="inlineStr">
        <is>
          <t>PR</t>
        </is>
      </c>
      <c r="M723" t="inlineStr">
        <is>
          <t>N</t>
        </is>
      </c>
      <c r="N723" t="n">
        <v>212</v>
      </c>
      <c r="O723" t="n">
        <v>0</v>
      </c>
      <c r="P723" t="n">
        <v>212</v>
      </c>
    </row>
    <row r="724">
      <c r="B724" t="n">
        <v>720</v>
      </c>
      <c r="C724" t="inlineStr">
        <is>
          <t>44112</t>
        </is>
      </c>
      <c r="D724" t="inlineStr">
        <is>
          <t>44112</t>
        </is>
      </c>
      <c r="G724" t="inlineStr">
        <is>
          <t>M29114</t>
        </is>
      </c>
      <c r="H724" t="inlineStr">
        <is>
          <t>C2150</t>
        </is>
      </c>
      <c r="I724" t="inlineStr">
        <is>
          <t>C21502F</t>
        </is>
      </c>
      <c r="J724" t="inlineStr">
        <is>
          <t>GLOVE INSERTS,NUCLE - DSSPM330-01</t>
        </is>
      </c>
      <c r="K724" t="inlineStr">
        <is>
          <t>IS</t>
        </is>
      </c>
      <c r="L724" t="inlineStr">
        <is>
          <t>PR</t>
        </is>
      </c>
      <c r="M724" t="inlineStr">
        <is>
          <t>N</t>
        </is>
      </c>
      <c r="N724" t="n">
        <v>212</v>
      </c>
      <c r="O724" t="n">
        <v>0</v>
      </c>
      <c r="P724" t="n">
        <v>212</v>
      </c>
    </row>
    <row r="725">
      <c r="B725" t="n">
        <v>721</v>
      </c>
      <c r="C725" t="inlineStr">
        <is>
          <t>44112</t>
        </is>
      </c>
      <c r="D725" t="inlineStr">
        <is>
          <t>44112</t>
        </is>
      </c>
      <c r="G725" t="inlineStr">
        <is>
          <t>M29114</t>
        </is>
      </c>
      <c r="H725" t="inlineStr">
        <is>
          <t>C2170</t>
        </is>
      </c>
      <c r="I725" t="inlineStr">
        <is>
          <t>C21702E</t>
        </is>
      </c>
      <c r="J725" t="inlineStr">
        <is>
          <t>SPECTACLES,INDUSTRI</t>
        </is>
      </c>
      <c r="K725" t="inlineStr">
        <is>
          <t>IS</t>
        </is>
      </c>
      <c r="L725" t="inlineStr">
        <is>
          <t>EA</t>
        </is>
      </c>
      <c r="M725" t="inlineStr">
        <is>
          <t>N</t>
        </is>
      </c>
      <c r="N725" t="n">
        <v>106</v>
      </c>
      <c r="O725" t="n">
        <v>0</v>
      </c>
      <c r="P725" t="n">
        <v>106</v>
      </c>
    </row>
    <row r="726">
      <c r="B726" t="n">
        <v>722</v>
      </c>
      <c r="C726" t="inlineStr">
        <is>
          <t>44112</t>
        </is>
      </c>
      <c r="D726" t="inlineStr">
        <is>
          <t>44112</t>
        </is>
      </c>
      <c r="G726" t="inlineStr">
        <is>
          <t>M29114</t>
        </is>
      </c>
      <c r="H726" t="inlineStr">
        <is>
          <t>C2171</t>
        </is>
      </c>
      <c r="I726" t="inlineStr">
        <is>
          <t>C21712E</t>
        </is>
      </c>
      <c r="J726" t="inlineStr">
        <is>
          <t>GOGGLES,INDUSTRIAL - INFLUX</t>
        </is>
      </c>
      <c r="K726" t="inlineStr">
        <is>
          <t>IS</t>
        </is>
      </c>
      <c r="L726" t="inlineStr">
        <is>
          <t>EA</t>
        </is>
      </c>
      <c r="M726" t="inlineStr">
        <is>
          <t>N</t>
        </is>
      </c>
      <c r="N726" t="n">
        <v>106</v>
      </c>
      <c r="O726" t="n">
        <v>0</v>
      </c>
      <c r="P726" t="n">
        <v>106</v>
      </c>
    </row>
    <row r="727">
      <c r="B727" t="n">
        <v>723</v>
      </c>
      <c r="C727" t="inlineStr">
        <is>
          <t>44112</t>
        </is>
      </c>
      <c r="D727" t="inlineStr">
        <is>
          <t>44112</t>
        </is>
      </c>
      <c r="G727" t="inlineStr">
        <is>
          <t>M29114</t>
        </is>
      </c>
      <c r="H727" t="inlineStr">
        <is>
          <t>C2200</t>
        </is>
      </c>
      <c r="I727" t="inlineStr">
        <is>
          <t>C22002E</t>
        </is>
      </c>
      <c r="J727" t="inlineStr">
        <is>
          <t>REACTIVE SKIN DECON - JSPDS/RSDL</t>
        </is>
      </c>
      <c r="K727" t="inlineStr">
        <is>
          <t>IS</t>
        </is>
      </c>
      <c r="L727" t="inlineStr">
        <is>
          <t>PG</t>
        </is>
      </c>
      <c r="M727" t="inlineStr">
        <is>
          <t>N</t>
        </is>
      </c>
      <c r="N727" t="n">
        <v>5</v>
      </c>
      <c r="O727" t="n">
        <v>0</v>
      </c>
      <c r="P727" t="n">
        <v>5</v>
      </c>
    </row>
    <row r="728">
      <c r="B728" t="n">
        <v>724</v>
      </c>
      <c r="C728" t="inlineStr">
        <is>
          <t>44112</t>
        </is>
      </c>
      <c r="D728" t="inlineStr">
        <is>
          <t>44112</t>
        </is>
      </c>
      <c r="G728" t="inlineStr">
        <is>
          <t>M29114</t>
        </is>
      </c>
      <c r="H728" t="inlineStr">
        <is>
          <t>C3020</t>
        </is>
      </c>
      <c r="I728" t="inlineStr">
        <is>
          <t>C30202E</t>
        </is>
      </c>
      <c r="J728" t="inlineStr">
        <is>
          <t>INSERTS,ENHANCED SM -  CO/PD 04-10</t>
        </is>
      </c>
      <c r="K728" t="inlineStr">
        <is>
          <t>IS</t>
        </is>
      </c>
      <c r="L728" t="inlineStr">
        <is>
          <t>EA</t>
        </is>
      </c>
      <c r="M728" t="inlineStr">
        <is>
          <t>N</t>
        </is>
      </c>
      <c r="N728" t="n">
        <v>212</v>
      </c>
      <c r="O728" t="n">
        <v>0</v>
      </c>
      <c r="P728" t="n">
        <v>212</v>
      </c>
    </row>
    <row r="729">
      <c r="B729" t="n">
        <v>725</v>
      </c>
      <c r="C729" t="inlineStr">
        <is>
          <t>44112</t>
        </is>
      </c>
      <c r="D729" t="inlineStr">
        <is>
          <t>44112</t>
        </is>
      </c>
      <c r="G729" t="inlineStr">
        <is>
          <t>M29114</t>
        </is>
      </c>
      <c r="H729" t="inlineStr">
        <is>
          <t>C3060</t>
        </is>
      </c>
      <c r="I729" t="inlineStr">
        <is>
          <t>C30602E</t>
        </is>
      </c>
      <c r="J729" t="inlineStr">
        <is>
          <t>CANTEEN,WATER - MIL-C-43103</t>
        </is>
      </c>
      <c r="K729" t="inlineStr">
        <is>
          <t>IS</t>
        </is>
      </c>
      <c r="L729" t="inlineStr">
        <is>
          <t>EA</t>
        </is>
      </c>
      <c r="M729" t="inlineStr">
        <is>
          <t>N</t>
        </is>
      </c>
      <c r="N729" t="n">
        <v>212</v>
      </c>
      <c r="O729" t="n">
        <v>0</v>
      </c>
      <c r="P729" t="n">
        <v>212</v>
      </c>
    </row>
    <row r="730">
      <c r="B730" t="n">
        <v>726</v>
      </c>
      <c r="C730" t="inlineStr">
        <is>
          <t>44112</t>
        </is>
      </c>
      <c r="D730" t="inlineStr">
        <is>
          <t>44112</t>
        </is>
      </c>
      <c r="G730" t="inlineStr">
        <is>
          <t>M29114</t>
        </is>
      </c>
      <c r="H730" t="inlineStr">
        <is>
          <t>C3070</t>
        </is>
      </c>
      <c r="I730" t="inlineStr">
        <is>
          <t>C30702E</t>
        </is>
      </c>
      <c r="J730" t="inlineStr">
        <is>
          <t>CARRIER,INTRENCHING - 390-04A</t>
        </is>
      </c>
      <c r="K730" t="inlineStr">
        <is>
          <t>IS</t>
        </is>
      </c>
      <c r="L730" t="inlineStr">
        <is>
          <t>EA</t>
        </is>
      </c>
      <c r="M730" t="inlineStr">
        <is>
          <t>N</t>
        </is>
      </c>
      <c r="N730" t="n">
        <v>106</v>
      </c>
      <c r="O730" t="n">
        <v>0</v>
      </c>
      <c r="P730" t="n">
        <v>106</v>
      </c>
    </row>
    <row r="731">
      <c r="B731" t="n">
        <v>727</v>
      </c>
      <c r="C731" t="inlineStr">
        <is>
          <t>44112</t>
        </is>
      </c>
      <c r="D731" t="inlineStr">
        <is>
          <t>44112</t>
        </is>
      </c>
      <c r="G731" t="inlineStr">
        <is>
          <t>M29114</t>
        </is>
      </c>
      <c r="H731" t="inlineStr">
        <is>
          <t>C3124</t>
        </is>
      </c>
      <c r="I731" t="inlineStr">
        <is>
          <t>C31242F</t>
        </is>
      </c>
      <c r="J731" t="inlineStr">
        <is>
          <t>COVER,HELMET - N/A</t>
        </is>
      </c>
      <c r="K731" t="inlineStr">
        <is>
          <t>IS</t>
        </is>
      </c>
      <c r="L731" t="inlineStr">
        <is>
          <t>EA</t>
        </is>
      </c>
      <c r="M731" t="inlineStr">
        <is>
          <t>N</t>
        </is>
      </c>
      <c r="N731" t="n">
        <v>95</v>
      </c>
      <c r="O731" t="n">
        <v>0</v>
      </c>
      <c r="P731" t="n">
        <v>95</v>
      </c>
    </row>
    <row r="732">
      <c r="B732" t="n">
        <v>728</v>
      </c>
      <c r="C732" t="inlineStr">
        <is>
          <t>44112</t>
        </is>
      </c>
      <c r="D732" t="inlineStr">
        <is>
          <t>44112</t>
        </is>
      </c>
      <c r="G732" t="inlineStr">
        <is>
          <t>M29114</t>
        </is>
      </c>
      <c r="H732" t="inlineStr">
        <is>
          <t>C3140</t>
        </is>
      </c>
      <c r="I732" t="inlineStr">
        <is>
          <t>C31402E</t>
        </is>
      </c>
      <c r="J732" t="inlineStr">
        <is>
          <t>CUP,WATER CANTEEN - MIL-C-73761</t>
        </is>
      </c>
      <c r="K732" t="inlineStr">
        <is>
          <t>IS</t>
        </is>
      </c>
      <c r="L732" t="inlineStr">
        <is>
          <t>EA</t>
        </is>
      </c>
      <c r="M732" t="inlineStr">
        <is>
          <t>N</t>
        </is>
      </c>
      <c r="N732" t="n">
        <v>106</v>
      </c>
      <c r="O732" t="n">
        <v>0</v>
      </c>
      <c r="P732" t="n">
        <v>106</v>
      </c>
    </row>
    <row r="733">
      <c r="B733" t="n">
        <v>729</v>
      </c>
      <c r="C733" t="inlineStr">
        <is>
          <t>44112</t>
        </is>
      </c>
      <c r="D733" t="inlineStr">
        <is>
          <t>44112</t>
        </is>
      </c>
      <c r="G733" t="inlineStr">
        <is>
          <t>M29114</t>
        </is>
      </c>
      <c r="H733" t="inlineStr">
        <is>
          <t>C3150</t>
        </is>
      </c>
      <c r="I733" t="inlineStr">
        <is>
          <t>C31502F</t>
        </is>
      </c>
      <c r="J733" t="inlineStr">
        <is>
          <t>FIRST AID KIT,INDIV - 1IFAK</t>
        </is>
      </c>
      <c r="K733" t="inlineStr">
        <is>
          <t>IS</t>
        </is>
      </c>
      <c r="L733" t="inlineStr">
        <is>
          <t>KT</t>
        </is>
      </c>
      <c r="M733" t="inlineStr">
        <is>
          <t>N</t>
        </is>
      </c>
      <c r="N733" t="n">
        <v>0</v>
      </c>
      <c r="O733" t="n">
        <v>140</v>
      </c>
      <c r="P733" t="n">
        <v>140</v>
      </c>
    </row>
    <row r="734">
      <c r="B734" t="n">
        <v>730</v>
      </c>
      <c r="C734" t="inlineStr">
        <is>
          <t>44112</t>
        </is>
      </c>
      <c r="D734" t="inlineStr">
        <is>
          <t>44112</t>
        </is>
      </c>
      <c r="G734" t="inlineStr">
        <is>
          <t>M29114</t>
        </is>
      </c>
      <c r="H734" t="inlineStr">
        <is>
          <t>C3215</t>
        </is>
      </c>
      <c r="I734" t="inlineStr">
        <is>
          <t>C32152E</t>
        </is>
      </c>
      <c r="J734" t="inlineStr">
        <is>
          <t>HELMET,GROUND TROOP - A12769</t>
        </is>
      </c>
      <c r="K734" t="inlineStr">
        <is>
          <t>IS</t>
        </is>
      </c>
      <c r="L734" t="inlineStr">
        <is>
          <t>EA</t>
        </is>
      </c>
      <c r="M734" t="inlineStr">
        <is>
          <t>N</t>
        </is>
      </c>
      <c r="N734" t="n">
        <v>95</v>
      </c>
      <c r="O734" t="n">
        <v>0</v>
      </c>
      <c r="P734" t="n">
        <v>95</v>
      </c>
    </row>
    <row r="735">
      <c r="B735" t="n">
        <v>731</v>
      </c>
      <c r="C735" t="inlineStr">
        <is>
          <t>44112</t>
        </is>
      </c>
      <c r="D735" t="inlineStr">
        <is>
          <t>44112</t>
        </is>
      </c>
      <c r="G735" t="inlineStr">
        <is>
          <t>M29114</t>
        </is>
      </c>
      <c r="H735" t="inlineStr">
        <is>
          <t>C3230</t>
        </is>
      </c>
      <c r="I735" t="inlineStr">
        <is>
          <t>C32302E</t>
        </is>
      </c>
      <c r="J735" t="inlineStr">
        <is>
          <t>INTRENCHING TOOL,HA - 05940</t>
        </is>
      </c>
      <c r="K735" t="inlineStr">
        <is>
          <t>IS</t>
        </is>
      </c>
      <c r="L735" t="inlineStr">
        <is>
          <t>EA</t>
        </is>
      </c>
      <c r="M735" t="inlineStr">
        <is>
          <t>N</t>
        </is>
      </c>
      <c r="N735" t="n">
        <v>106</v>
      </c>
      <c r="O735" t="n">
        <v>0</v>
      </c>
      <c r="P735" t="n">
        <v>106</v>
      </c>
    </row>
    <row r="736">
      <c r="B736" t="n">
        <v>732</v>
      </c>
      <c r="C736" t="inlineStr">
        <is>
          <t>44112</t>
        </is>
      </c>
      <c r="D736" t="inlineStr">
        <is>
          <t>44112</t>
        </is>
      </c>
      <c r="G736" t="inlineStr">
        <is>
          <t>M29114</t>
        </is>
      </c>
      <c r="H736" t="inlineStr">
        <is>
          <t>C3250</t>
        </is>
      </c>
      <c r="I736" t="inlineStr">
        <is>
          <t>C32502E</t>
        </is>
      </c>
      <c r="J736" t="inlineStr">
        <is>
          <t>KNIFE,COMBAT - MIL-K-20277</t>
        </is>
      </c>
      <c r="K736" t="inlineStr">
        <is>
          <t>IS</t>
        </is>
      </c>
      <c r="L736" t="inlineStr">
        <is>
          <t>EA</t>
        </is>
      </c>
      <c r="M736" t="inlineStr">
        <is>
          <t>N</t>
        </is>
      </c>
      <c r="N736" t="n">
        <v>0</v>
      </c>
      <c r="O736" t="n">
        <v>2</v>
      </c>
      <c r="P736" t="n">
        <v>2</v>
      </c>
    </row>
    <row r="737">
      <c r="B737" t="n">
        <v>733</v>
      </c>
      <c r="C737" t="inlineStr">
        <is>
          <t>44112</t>
        </is>
      </c>
      <c r="D737" t="inlineStr">
        <is>
          <t>44112</t>
        </is>
      </c>
      <c r="G737" t="inlineStr">
        <is>
          <t>M29114</t>
        </is>
      </c>
      <c r="H737" t="inlineStr">
        <is>
          <t>C3400</t>
        </is>
      </c>
      <c r="I737" t="inlineStr">
        <is>
          <t>C34002F</t>
        </is>
      </c>
      <c r="J737" t="inlineStr">
        <is>
          <t>TARPAULIN - 8405-00-NSH-00</t>
        </is>
      </c>
      <c r="K737" t="inlineStr">
        <is>
          <t>IS</t>
        </is>
      </c>
      <c r="L737" t="inlineStr">
        <is>
          <t>EA</t>
        </is>
      </c>
      <c r="M737" t="inlineStr">
        <is>
          <t>N</t>
        </is>
      </c>
      <c r="N737" t="n">
        <v>106</v>
      </c>
      <c r="O737" t="n">
        <v>0</v>
      </c>
      <c r="P737" t="n">
        <v>106</v>
      </c>
    </row>
    <row r="738">
      <c r="B738" t="n">
        <v>734</v>
      </c>
      <c r="C738" t="inlineStr">
        <is>
          <t>44112</t>
        </is>
      </c>
      <c r="D738" t="inlineStr">
        <is>
          <t>44112</t>
        </is>
      </c>
      <c r="G738" t="inlineStr">
        <is>
          <t>M29114</t>
        </is>
      </c>
      <c r="H738" t="inlineStr">
        <is>
          <t>C3414</t>
        </is>
      </c>
      <c r="I738" t="inlineStr">
        <is>
          <t>C34142E</t>
        </is>
      </c>
      <c r="J738" t="inlineStr">
        <is>
          <t>TENT,COMBAT,TWO MAN - 2628916</t>
        </is>
      </c>
      <c r="K738" t="inlineStr">
        <is>
          <t>IS</t>
        </is>
      </c>
      <c r="L738" t="inlineStr">
        <is>
          <t>EA</t>
        </is>
      </c>
      <c r="M738" t="inlineStr">
        <is>
          <t>N</t>
        </is>
      </c>
      <c r="N738" t="n">
        <v>53</v>
      </c>
      <c r="O738" t="n">
        <v>0</v>
      </c>
      <c r="P738" t="n">
        <v>53</v>
      </c>
    </row>
    <row r="739">
      <c r="B739" t="n">
        <v>735</v>
      </c>
      <c r="C739" t="inlineStr">
        <is>
          <t>44112</t>
        </is>
      </c>
      <c r="D739" t="inlineStr">
        <is>
          <t>44112</t>
        </is>
      </c>
      <c r="G739" t="inlineStr">
        <is>
          <t>M29114</t>
        </is>
      </c>
      <c r="H739" t="inlineStr">
        <is>
          <t>C3421</t>
        </is>
      </c>
      <c r="I739" t="inlineStr">
        <is>
          <t>C34212F</t>
        </is>
      </c>
      <c r="J739" t="inlineStr">
        <is>
          <t>MODULAR SLEEP SYSTE - W91AZKLG</t>
        </is>
      </c>
      <c r="K739" t="inlineStr">
        <is>
          <t>IS</t>
        </is>
      </c>
      <c r="L739" t="inlineStr">
        <is>
          <t>EA</t>
        </is>
      </c>
      <c r="M739" t="inlineStr">
        <is>
          <t>N</t>
        </is>
      </c>
      <c r="N739" t="n">
        <v>106</v>
      </c>
      <c r="O739" t="n">
        <v>0</v>
      </c>
      <c r="P739" t="n">
        <v>106</v>
      </c>
    </row>
    <row r="740">
      <c r="B740" t="n">
        <v>736</v>
      </c>
      <c r="C740" t="inlineStr">
        <is>
          <t>44112</t>
        </is>
      </c>
      <c r="D740" t="inlineStr">
        <is>
          <t>44112</t>
        </is>
      </c>
      <c r="G740" t="inlineStr">
        <is>
          <t>M29114</t>
        </is>
      </c>
      <c r="H740" t="inlineStr">
        <is>
          <t>C3423</t>
        </is>
      </c>
      <c r="I740" t="inlineStr">
        <is>
          <t>C34232E</t>
        </is>
      </c>
      <c r="J740" t="inlineStr">
        <is>
          <t>STAND,CANTEEN CUP - MIL-S-44221</t>
        </is>
      </c>
      <c r="K740" t="inlineStr">
        <is>
          <t>IS</t>
        </is>
      </c>
      <c r="L740" t="inlineStr">
        <is>
          <t>EA</t>
        </is>
      </c>
      <c r="M740" t="inlineStr">
        <is>
          <t>N</t>
        </is>
      </c>
      <c r="N740" t="n">
        <v>106</v>
      </c>
      <c r="O740" t="n">
        <v>0</v>
      </c>
      <c r="P740" t="n">
        <v>106</v>
      </c>
    </row>
    <row r="741">
      <c r="B741" t="n">
        <v>737</v>
      </c>
      <c r="C741" t="inlineStr">
        <is>
          <t>44112</t>
        </is>
      </c>
      <c r="D741" t="inlineStr">
        <is>
          <t>44112</t>
        </is>
      </c>
      <c r="G741" t="inlineStr">
        <is>
          <t>M29114</t>
        </is>
      </c>
      <c r="H741" t="inlineStr">
        <is>
          <t>C4158</t>
        </is>
      </c>
      <c r="I741" t="inlineStr">
        <is>
          <t>C41582E</t>
        </is>
      </c>
      <c r="J741" t="inlineStr">
        <is>
          <t>No Item Name Availa - 15W</t>
        </is>
      </c>
      <c r="K741" t="inlineStr">
        <is>
          <t>IS</t>
        </is>
      </c>
      <c r="L741" t="inlineStr"/>
      <c r="M741" t="inlineStr">
        <is>
          <t>N</t>
        </is>
      </c>
      <c r="N741" t="n">
        <v>0</v>
      </c>
      <c r="O741" t="n">
        <v>0</v>
      </c>
      <c r="P741" t="n">
        <v>0</v>
      </c>
    </row>
    <row r="742">
      <c r="B742" t="n">
        <v>738</v>
      </c>
      <c r="C742" t="inlineStr">
        <is>
          <t>44112</t>
        </is>
      </c>
      <c r="D742" t="inlineStr">
        <is>
          <t>44112</t>
        </is>
      </c>
      <c r="G742" t="inlineStr">
        <is>
          <t>M29114</t>
        </is>
      </c>
      <c r="H742" t="inlineStr">
        <is>
          <t>C4415</t>
        </is>
      </c>
      <c r="I742" t="inlineStr">
        <is>
          <t>C44152E</t>
        </is>
      </c>
      <c r="J742" t="inlineStr">
        <is>
          <t>FIREMEN'S COAT - LGE/SH</t>
        </is>
      </c>
      <c r="K742" t="inlineStr">
        <is>
          <t>IS</t>
        </is>
      </c>
      <c r="L742" t="inlineStr">
        <is>
          <t>EA</t>
        </is>
      </c>
      <c r="M742" t="inlineStr">
        <is>
          <t>N</t>
        </is>
      </c>
      <c r="N742" t="n">
        <v>0</v>
      </c>
      <c r="O742" t="n">
        <v>0</v>
      </c>
      <c r="P742" t="n">
        <v>0</v>
      </c>
    </row>
    <row r="743">
      <c r="B743" t="n">
        <v>739</v>
      </c>
      <c r="C743" t="inlineStr">
        <is>
          <t>44112</t>
        </is>
      </c>
      <c r="D743" t="inlineStr">
        <is>
          <t>44112</t>
        </is>
      </c>
      <c r="G743" t="inlineStr">
        <is>
          <t>M29114</t>
        </is>
      </c>
      <c r="H743" t="inlineStr">
        <is>
          <t>C4433</t>
        </is>
      </c>
      <c r="I743" t="inlineStr">
        <is>
          <t>C44332E</t>
        </is>
      </c>
      <c r="J743" t="inlineStr">
        <is>
          <t>SHIPPING AND STORAG - SB812M</t>
        </is>
      </c>
      <c r="K743" t="inlineStr">
        <is>
          <t>IS</t>
        </is>
      </c>
      <c r="L743" t="inlineStr">
        <is>
          <t>EA</t>
        </is>
      </c>
      <c r="M743" t="inlineStr">
        <is>
          <t>N</t>
        </is>
      </c>
      <c r="N743" t="n">
        <v>0</v>
      </c>
      <c r="O743" t="n">
        <v>14</v>
      </c>
      <c r="P743" t="n">
        <v>14</v>
      </c>
    </row>
    <row r="744">
      <c r="B744" t="n">
        <v>740</v>
      </c>
      <c r="C744" t="inlineStr">
        <is>
          <t>44112</t>
        </is>
      </c>
      <c r="D744" t="inlineStr">
        <is>
          <t>44112</t>
        </is>
      </c>
      <c r="G744" t="inlineStr">
        <is>
          <t>M29114</t>
        </is>
      </c>
      <c r="H744" t="inlineStr">
        <is>
          <t>C4546</t>
        </is>
      </c>
      <c r="I744" t="inlineStr">
        <is>
          <t>C45462E</t>
        </is>
      </c>
      <c r="J744" t="inlineStr">
        <is>
          <t>DISPENSER,LIQUID,IN - 7505</t>
        </is>
      </c>
      <c r="K744" t="inlineStr">
        <is>
          <t>IS</t>
        </is>
      </c>
      <c r="L744" t="inlineStr">
        <is>
          <t>EA</t>
        </is>
      </c>
      <c r="M744" t="inlineStr">
        <is>
          <t>N</t>
        </is>
      </c>
      <c r="N744" t="n">
        <v>0</v>
      </c>
      <c r="O744" t="n">
        <v>4</v>
      </c>
      <c r="P744" t="n">
        <v>4</v>
      </c>
    </row>
    <row r="745">
      <c r="B745" t="n">
        <v>741</v>
      </c>
      <c r="C745" t="inlineStr">
        <is>
          <t>44112</t>
        </is>
      </c>
      <c r="D745" t="inlineStr">
        <is>
          <t>44112</t>
        </is>
      </c>
      <c r="G745" t="inlineStr">
        <is>
          <t>M29114</t>
        </is>
      </c>
      <c r="H745" t="inlineStr">
        <is>
          <t>C4880</t>
        </is>
      </c>
      <c r="I745" t="inlineStr">
        <is>
          <t>C48802E</t>
        </is>
      </c>
      <c r="J745" t="inlineStr">
        <is>
          <t>FOOD TRANSPORTER,IN - A-A-52193</t>
        </is>
      </c>
      <c r="K745" t="inlineStr">
        <is>
          <t>IS</t>
        </is>
      </c>
      <c r="L745" t="inlineStr">
        <is>
          <t>EA</t>
        </is>
      </c>
      <c r="M745" t="inlineStr">
        <is>
          <t>N</t>
        </is>
      </c>
      <c r="N745" t="n">
        <v>0</v>
      </c>
      <c r="O745" t="n">
        <v>4</v>
      </c>
      <c r="P745" t="n">
        <v>4</v>
      </c>
    </row>
    <row r="746">
      <c r="B746" t="n">
        <v>742</v>
      </c>
      <c r="C746" t="inlineStr">
        <is>
          <t>44112</t>
        </is>
      </c>
      <c r="D746" t="inlineStr">
        <is>
          <t>44112</t>
        </is>
      </c>
      <c r="G746" t="inlineStr">
        <is>
          <t>M29114</t>
        </is>
      </c>
      <c r="H746" t="inlineStr">
        <is>
          <t>C4915</t>
        </is>
      </c>
      <c r="I746" t="inlineStr">
        <is>
          <t>C49152E</t>
        </is>
      </c>
      <c r="J746" t="inlineStr">
        <is>
          <t>GLOVE,FIREMAN PROXI - XXX-LARGE</t>
        </is>
      </c>
      <c r="K746" t="inlineStr">
        <is>
          <t>IS</t>
        </is>
      </c>
      <c r="L746" t="inlineStr">
        <is>
          <t>PR</t>
        </is>
      </c>
      <c r="M746" t="inlineStr">
        <is>
          <t>N</t>
        </is>
      </c>
      <c r="N746" t="n">
        <v>0</v>
      </c>
      <c r="O746" t="n">
        <v>0</v>
      </c>
      <c r="P746" t="n">
        <v>0</v>
      </c>
    </row>
    <row r="747">
      <c r="B747" t="n">
        <v>743</v>
      </c>
      <c r="C747" t="inlineStr">
        <is>
          <t>44112</t>
        </is>
      </c>
      <c r="D747" t="inlineStr">
        <is>
          <t>44112</t>
        </is>
      </c>
      <c r="G747" t="inlineStr">
        <is>
          <t>M29114</t>
        </is>
      </c>
      <c r="H747" t="inlineStr">
        <is>
          <t>C5039</t>
        </is>
      </c>
      <c r="I747" t="inlineStr">
        <is>
          <t>C50392E</t>
        </is>
      </c>
      <c r="J747" t="inlineStr">
        <is>
          <t>FIREMAN'S HELMET - GSAMA000003</t>
        </is>
      </c>
      <c r="K747" t="inlineStr">
        <is>
          <t>IS</t>
        </is>
      </c>
      <c r="L747" t="inlineStr">
        <is>
          <t>EA</t>
        </is>
      </c>
      <c r="M747" t="inlineStr">
        <is>
          <t>N</t>
        </is>
      </c>
      <c r="N747" t="n">
        <v>0</v>
      </c>
      <c r="O747" t="n">
        <v>9</v>
      </c>
      <c r="P747" t="n">
        <v>9</v>
      </c>
    </row>
    <row r="748">
      <c r="B748" t="n">
        <v>744</v>
      </c>
      <c r="C748" t="inlineStr">
        <is>
          <t>44112</t>
        </is>
      </c>
      <c r="D748" t="inlineStr">
        <is>
          <t>44112</t>
        </is>
      </c>
      <c r="G748" t="inlineStr">
        <is>
          <t>M29114</t>
        </is>
      </c>
      <c r="H748" t="inlineStr">
        <is>
          <t>C5265</t>
        </is>
      </c>
      <c r="I748" t="inlineStr">
        <is>
          <t>C52652E</t>
        </is>
      </c>
      <c r="J748" t="inlineStr">
        <is>
          <t>MASK SYSTEM,CHEMICA - M50</t>
        </is>
      </c>
      <c r="K748" t="inlineStr">
        <is>
          <t>IS</t>
        </is>
      </c>
      <c r="L748" t="inlineStr">
        <is>
          <t>EA</t>
        </is>
      </c>
      <c r="M748" t="inlineStr">
        <is>
          <t>N</t>
        </is>
      </c>
      <c r="N748" t="n">
        <v>106</v>
      </c>
      <c r="O748" t="n">
        <v>0</v>
      </c>
      <c r="P748" t="n">
        <v>106</v>
      </c>
    </row>
    <row r="749">
      <c r="B749" t="n">
        <v>745</v>
      </c>
      <c r="C749" t="inlineStr">
        <is>
          <t>44112</t>
        </is>
      </c>
      <c r="D749" t="inlineStr">
        <is>
          <t>44112</t>
        </is>
      </c>
      <c r="G749" t="inlineStr">
        <is>
          <t>M29114</t>
        </is>
      </c>
      <c r="H749" t="inlineStr">
        <is>
          <t>C5269</t>
        </is>
      </c>
      <c r="I749" t="inlineStr">
        <is>
          <t>C52692E</t>
        </is>
      </c>
      <c r="J749" t="inlineStr">
        <is>
          <t>TESTER,LEAKAGE,PROT - M46A2</t>
        </is>
      </c>
      <c r="K749" t="inlineStr">
        <is>
          <t>IS</t>
        </is>
      </c>
      <c r="L749" t="inlineStr">
        <is>
          <t>EA</t>
        </is>
      </c>
      <c r="M749" t="inlineStr">
        <is>
          <t>N</t>
        </is>
      </c>
      <c r="N749" t="n">
        <v>0</v>
      </c>
      <c r="O749" t="n">
        <v>1</v>
      </c>
      <c r="P749" t="n">
        <v>1</v>
      </c>
    </row>
    <row r="750">
      <c r="B750" t="n">
        <v>746</v>
      </c>
      <c r="C750" t="inlineStr">
        <is>
          <t>44112</t>
        </is>
      </c>
      <c r="D750" t="inlineStr">
        <is>
          <t>44112</t>
        </is>
      </c>
      <c r="G750" t="inlineStr">
        <is>
          <t>M29114</t>
        </is>
      </c>
      <c r="H750" t="inlineStr">
        <is>
          <t>C5440</t>
        </is>
      </c>
      <c r="I750" t="inlineStr">
        <is>
          <t>C54402F</t>
        </is>
      </c>
      <c r="J750" t="inlineStr">
        <is>
          <t>FIELD PACK - F190186393</t>
        </is>
      </c>
      <c r="K750" t="inlineStr">
        <is>
          <t>IS</t>
        </is>
      </c>
      <c r="L750" t="inlineStr">
        <is>
          <t>EA</t>
        </is>
      </c>
      <c r="M750" t="inlineStr">
        <is>
          <t>N</t>
        </is>
      </c>
      <c r="N750" t="n">
        <v>106</v>
      </c>
      <c r="O750" t="n">
        <v>0</v>
      </c>
      <c r="P750" t="n">
        <v>106</v>
      </c>
    </row>
    <row r="751">
      <c r="B751" t="n">
        <v>747</v>
      </c>
      <c r="C751" t="inlineStr">
        <is>
          <t>44112</t>
        </is>
      </c>
      <c r="D751" t="inlineStr">
        <is>
          <t>44112</t>
        </is>
      </c>
      <c r="G751" t="inlineStr">
        <is>
          <t>M29114</t>
        </is>
      </c>
      <c r="H751" t="inlineStr">
        <is>
          <t>C5530</t>
        </is>
      </c>
      <c r="I751" t="inlineStr">
        <is>
          <t>C55302F</t>
        </is>
      </c>
      <c r="J751" t="inlineStr">
        <is>
          <t>PARACHUTE,CARGO - G-12E</t>
        </is>
      </c>
      <c r="K751" t="inlineStr">
        <is>
          <t>IS</t>
        </is>
      </c>
      <c r="L751" t="inlineStr">
        <is>
          <t>EA</t>
        </is>
      </c>
      <c r="M751" t="inlineStr">
        <is>
          <t>N</t>
        </is>
      </c>
      <c r="N751" t="n">
        <v>0</v>
      </c>
      <c r="O751" t="n">
        <v>10</v>
      </c>
      <c r="P751" t="n">
        <v>10</v>
      </c>
    </row>
    <row r="752">
      <c r="B752" t="n">
        <v>748</v>
      </c>
      <c r="C752" t="inlineStr">
        <is>
          <t>44112</t>
        </is>
      </c>
      <c r="D752" t="inlineStr">
        <is>
          <t>44112</t>
        </is>
      </c>
      <c r="G752" t="inlineStr">
        <is>
          <t>M29114</t>
        </is>
      </c>
      <c r="H752" t="inlineStr">
        <is>
          <t>C5652</t>
        </is>
      </c>
      <c r="I752" t="inlineStr">
        <is>
          <t>C56522F</t>
        </is>
      </c>
      <c r="J752" t="inlineStr">
        <is>
          <t>No Item Name Availa - APECS 3RD GEN</t>
        </is>
      </c>
      <c r="K752" t="inlineStr">
        <is>
          <t>IS</t>
        </is>
      </c>
      <c r="L752" t="inlineStr"/>
      <c r="M752" t="inlineStr">
        <is>
          <t>N</t>
        </is>
      </c>
      <c r="N752" t="n">
        <v>106</v>
      </c>
      <c r="O752" t="n">
        <v>0</v>
      </c>
      <c r="P752" t="n">
        <v>106</v>
      </c>
    </row>
    <row r="753">
      <c r="B753" t="n">
        <v>749</v>
      </c>
      <c r="C753" t="inlineStr">
        <is>
          <t>44112</t>
        </is>
      </c>
      <c r="D753" t="inlineStr">
        <is>
          <t>44112</t>
        </is>
      </c>
      <c r="G753" t="inlineStr">
        <is>
          <t>M29114</t>
        </is>
      </c>
      <c r="H753" t="inlineStr">
        <is>
          <t>C6632</t>
        </is>
      </c>
      <c r="I753" t="inlineStr">
        <is>
          <t>C66322F</t>
        </is>
      </c>
      <c r="J753" t="inlineStr">
        <is>
          <t>No Item Name Availa - N/A</t>
        </is>
      </c>
      <c r="K753" t="inlineStr">
        <is>
          <t>IS</t>
        </is>
      </c>
      <c r="L753" t="inlineStr"/>
      <c r="M753" t="inlineStr">
        <is>
          <t>N</t>
        </is>
      </c>
      <c r="N753" t="n">
        <v>106</v>
      </c>
      <c r="O753" t="n">
        <v>0</v>
      </c>
      <c r="P753" t="n">
        <v>106</v>
      </c>
    </row>
    <row r="754">
      <c r="B754" t="n">
        <v>750</v>
      </c>
      <c r="C754" t="inlineStr">
        <is>
          <t>44112</t>
        </is>
      </c>
      <c r="D754" t="inlineStr">
        <is>
          <t>44112</t>
        </is>
      </c>
      <c r="G754" t="inlineStr">
        <is>
          <t>M29114</t>
        </is>
      </c>
      <c r="H754" t="inlineStr">
        <is>
          <t>C6639</t>
        </is>
      </c>
      <c r="I754" t="inlineStr">
        <is>
          <t>C66392E</t>
        </is>
      </c>
      <c r="J754" t="inlineStr">
        <is>
          <t>FIREMEN'S TROUSER - 36X32</t>
        </is>
      </c>
      <c r="K754" t="inlineStr">
        <is>
          <t>IS</t>
        </is>
      </c>
      <c r="L754" t="inlineStr">
        <is>
          <t>PR</t>
        </is>
      </c>
      <c r="M754" t="inlineStr">
        <is>
          <t>N</t>
        </is>
      </c>
      <c r="N754" t="n">
        <v>0</v>
      </c>
      <c r="O754" t="n">
        <v>0</v>
      </c>
      <c r="P754" t="n">
        <v>0</v>
      </c>
    </row>
    <row r="755">
      <c r="B755" t="n">
        <v>751</v>
      </c>
      <c r="C755" t="inlineStr">
        <is>
          <t>44112</t>
        </is>
      </c>
      <c r="D755" t="inlineStr">
        <is>
          <t>44112</t>
        </is>
      </c>
      <c r="G755" t="inlineStr">
        <is>
          <t>M29114</t>
        </is>
      </c>
      <c r="H755" t="inlineStr">
        <is>
          <t>C7001</t>
        </is>
      </c>
      <c r="I755" t="inlineStr">
        <is>
          <t>C70017B</t>
        </is>
      </c>
      <c r="J755" t="inlineStr">
        <is>
          <t>TESTER,AUTOMATIC TR - 94000</t>
        </is>
      </c>
      <c r="K755" t="inlineStr">
        <is>
          <t>DP</t>
        </is>
      </c>
      <c r="L755" t="inlineStr">
        <is>
          <t>EA</t>
        </is>
      </c>
      <c r="M755" t="inlineStr">
        <is>
          <t>N</t>
        </is>
      </c>
      <c r="N755" t="n">
        <v>0</v>
      </c>
      <c r="O755" t="n">
        <v>1</v>
      </c>
      <c r="P755" t="n">
        <v>1</v>
      </c>
    </row>
    <row r="756">
      <c r="B756" t="n">
        <v>752</v>
      </c>
      <c r="C756" t="inlineStr">
        <is>
          <t>44112</t>
        </is>
      </c>
      <c r="D756" t="inlineStr">
        <is>
          <t>44112</t>
        </is>
      </c>
      <c r="G756" t="inlineStr">
        <is>
          <t>M29114</t>
        </is>
      </c>
      <c r="H756" t="inlineStr">
        <is>
          <t>C7002</t>
        </is>
      </c>
      <c r="I756" t="inlineStr">
        <is>
          <t>C70022B</t>
        </is>
      </c>
      <c r="J756" t="inlineStr">
        <is>
          <t>TEST KIT,OIL CONDIT - FIELDLAB 33M</t>
        </is>
      </c>
      <c r="K756" t="inlineStr">
        <is>
          <t>IS</t>
        </is>
      </c>
      <c r="L756" t="inlineStr">
        <is>
          <t>EA</t>
        </is>
      </c>
      <c r="M756" t="inlineStr">
        <is>
          <t>N</t>
        </is>
      </c>
      <c r="N756" t="n">
        <v>0</v>
      </c>
      <c r="O756" t="n">
        <v>1</v>
      </c>
      <c r="P756" t="n">
        <v>1</v>
      </c>
    </row>
    <row r="757">
      <c r="B757" t="n">
        <v>753</v>
      </c>
      <c r="C757" t="inlineStr">
        <is>
          <t>44112</t>
        </is>
      </c>
      <c r="D757" t="inlineStr">
        <is>
          <t>44112</t>
        </is>
      </c>
      <c r="G757" t="inlineStr">
        <is>
          <t>M29114</t>
        </is>
      </c>
      <c r="H757" t="inlineStr">
        <is>
          <t>C7025</t>
        </is>
      </c>
      <c r="I757" t="inlineStr">
        <is>
          <t>C70252B</t>
        </is>
      </c>
      <c r="J757" t="inlineStr">
        <is>
          <t>HYDRAULIC IN-LINE T - HILT2010</t>
        </is>
      </c>
      <c r="K757" t="inlineStr">
        <is>
          <t>IS</t>
        </is>
      </c>
      <c r="L757" t="inlineStr">
        <is>
          <t>KT</t>
        </is>
      </c>
      <c r="M757" t="inlineStr">
        <is>
          <t>N</t>
        </is>
      </c>
      <c r="N757" t="n">
        <v>0</v>
      </c>
      <c r="O757" t="n">
        <v>1</v>
      </c>
      <c r="P757" t="n">
        <v>1</v>
      </c>
    </row>
    <row r="758">
      <c r="B758" t="n">
        <v>754</v>
      </c>
      <c r="C758" t="inlineStr">
        <is>
          <t>44112</t>
        </is>
      </c>
      <c r="D758" t="inlineStr">
        <is>
          <t>44112</t>
        </is>
      </c>
      <c r="G758" t="inlineStr">
        <is>
          <t>M29114</t>
        </is>
      </c>
      <c r="H758" t="inlineStr">
        <is>
          <t>C7033</t>
        </is>
      </c>
      <c r="I758" t="inlineStr">
        <is>
          <t>C70337B</t>
        </is>
      </c>
      <c r="J758" t="inlineStr">
        <is>
          <t>SHOP EQUIPMENT,CONT - DFP376</t>
        </is>
      </c>
      <c r="K758" t="inlineStr">
        <is>
          <t>IS</t>
        </is>
      </c>
      <c r="L758" t="inlineStr">
        <is>
          <t>EA</t>
        </is>
      </c>
      <c r="M758" t="inlineStr">
        <is>
          <t>N</t>
        </is>
      </c>
      <c r="N758" t="n">
        <v>0</v>
      </c>
      <c r="O758" t="n">
        <v>2</v>
      </c>
      <c r="P758" t="n">
        <v>2</v>
      </c>
    </row>
    <row r="759">
      <c r="B759" t="n">
        <v>755</v>
      </c>
      <c r="C759" t="inlineStr">
        <is>
          <t>44112</t>
        </is>
      </c>
      <c r="D759" t="inlineStr">
        <is>
          <t>44112</t>
        </is>
      </c>
      <c r="G759" t="inlineStr">
        <is>
          <t>M29114</t>
        </is>
      </c>
      <c r="H759" t="inlineStr">
        <is>
          <t>C7900</t>
        </is>
      </c>
      <c r="I759" t="inlineStr">
        <is>
          <t>C79002B</t>
        </is>
      </c>
      <c r="J759" t="inlineStr">
        <is>
          <t>TOOL KIT,AIR CONDIT - C20-10C00</t>
        </is>
      </c>
      <c r="K759" t="inlineStr">
        <is>
          <t>IS</t>
        </is>
      </c>
      <c r="L759" t="inlineStr">
        <is>
          <t>KT</t>
        </is>
      </c>
      <c r="M759" t="inlineStr">
        <is>
          <t>N</t>
        </is>
      </c>
      <c r="N759" t="n">
        <v>0</v>
      </c>
      <c r="O759" t="n">
        <v>1</v>
      </c>
      <c r="P759" t="n">
        <v>1</v>
      </c>
    </row>
    <row r="760">
      <c r="B760" t="n">
        <v>756</v>
      </c>
      <c r="C760" t="inlineStr">
        <is>
          <t>44112</t>
        </is>
      </c>
      <c r="D760" t="inlineStr">
        <is>
          <t>44112</t>
        </is>
      </c>
      <c r="G760" t="inlineStr">
        <is>
          <t>M29114</t>
        </is>
      </c>
      <c r="H760" t="inlineStr">
        <is>
          <t>C7904</t>
        </is>
      </c>
      <c r="I760" t="inlineStr">
        <is>
          <t>C79042B</t>
        </is>
      </c>
      <c r="J760" t="inlineStr">
        <is>
          <t>SHOP EQUIPMENT,GENE - BXQASGMCSC-0015</t>
        </is>
      </c>
      <c r="K760" t="inlineStr">
        <is>
          <t>IS</t>
        </is>
      </c>
      <c r="L760" t="inlineStr">
        <is>
          <t>EA</t>
        </is>
      </c>
      <c r="M760" t="inlineStr">
        <is>
          <t>N</t>
        </is>
      </c>
      <c r="N760" t="n">
        <v>0</v>
      </c>
      <c r="O760" t="n">
        <v>2</v>
      </c>
      <c r="P760" t="n">
        <v>2</v>
      </c>
    </row>
    <row r="761">
      <c r="B761" t="n">
        <v>757</v>
      </c>
      <c r="C761" t="inlineStr">
        <is>
          <t>44112</t>
        </is>
      </c>
      <c r="D761" t="inlineStr">
        <is>
          <t>44112</t>
        </is>
      </c>
      <c r="G761" t="inlineStr">
        <is>
          <t>M29114</t>
        </is>
      </c>
      <c r="H761" t="inlineStr">
        <is>
          <t>C7908</t>
        </is>
      </c>
      <c r="I761" t="inlineStr">
        <is>
          <t>C79082B</t>
        </is>
      </c>
      <c r="J761" t="inlineStr">
        <is>
          <t>LUBRICATING UNIT,PO - ARS61211</t>
        </is>
      </c>
      <c r="K761" t="inlineStr">
        <is>
          <t>IS</t>
        </is>
      </c>
      <c r="L761" t="inlineStr">
        <is>
          <t>EA</t>
        </is>
      </c>
      <c r="M761" t="inlineStr">
        <is>
          <t>N</t>
        </is>
      </c>
      <c r="N761" t="n">
        <v>0</v>
      </c>
      <c r="O761" t="n">
        <v>1</v>
      </c>
      <c r="P761" t="n">
        <v>1</v>
      </c>
    </row>
    <row r="762">
      <c r="B762" t="n">
        <v>758</v>
      </c>
      <c r="C762" t="inlineStr">
        <is>
          <t>44112</t>
        </is>
      </c>
      <c r="D762" t="inlineStr">
        <is>
          <t>44112</t>
        </is>
      </c>
      <c r="G762" t="inlineStr">
        <is>
          <t>M29114</t>
        </is>
      </c>
      <c r="H762" t="inlineStr">
        <is>
          <t>C7911</t>
        </is>
      </c>
      <c r="I762" t="inlineStr">
        <is>
          <t>C79112B</t>
        </is>
      </c>
      <c r="J762" t="inlineStr">
        <is>
          <t>SHOP EQUIPMENT,UTIL - USMC24-1000</t>
        </is>
      </c>
      <c r="K762" t="inlineStr">
        <is>
          <t>IS</t>
        </is>
      </c>
      <c r="L762" t="inlineStr">
        <is>
          <t>EA</t>
        </is>
      </c>
      <c r="M762" t="inlineStr">
        <is>
          <t>N</t>
        </is>
      </c>
      <c r="N762" t="n">
        <v>0</v>
      </c>
      <c r="O762" t="n">
        <v>1</v>
      </c>
      <c r="P762" t="n">
        <v>1</v>
      </c>
    </row>
    <row r="763">
      <c r="B763" t="n">
        <v>759</v>
      </c>
      <c r="C763" t="inlineStr">
        <is>
          <t>44112</t>
        </is>
      </c>
      <c r="D763" t="inlineStr">
        <is>
          <t>44112</t>
        </is>
      </c>
      <c r="G763" t="inlineStr">
        <is>
          <t>M29114</t>
        </is>
      </c>
      <c r="H763" t="inlineStr">
        <is>
          <t>C7913</t>
        </is>
      </c>
      <c r="I763" t="inlineStr">
        <is>
          <t>C79132B</t>
        </is>
      </c>
      <c r="J763" t="inlineStr">
        <is>
          <t>SHOP EQUIPMENT,UTIL - CMMS23COMP</t>
        </is>
      </c>
      <c r="K763" t="inlineStr">
        <is>
          <t>IS</t>
        </is>
      </c>
      <c r="L763" t="inlineStr">
        <is>
          <t>EA</t>
        </is>
      </c>
      <c r="M763" t="inlineStr">
        <is>
          <t>N</t>
        </is>
      </c>
      <c r="N763" t="n">
        <v>0</v>
      </c>
      <c r="O763" t="n">
        <v>1</v>
      </c>
      <c r="P763" t="n">
        <v>1</v>
      </c>
    </row>
    <row r="764">
      <c r="B764" t="n">
        <v>760</v>
      </c>
      <c r="C764" t="inlineStr">
        <is>
          <t>44112</t>
        </is>
      </c>
      <c r="D764" t="inlineStr">
        <is>
          <t>44112</t>
        </is>
      </c>
      <c r="G764" t="inlineStr">
        <is>
          <t>M29114</t>
        </is>
      </c>
      <c r="H764" t="inlineStr">
        <is>
          <t>C7915</t>
        </is>
      </c>
      <c r="I764" t="inlineStr">
        <is>
          <t>C79152B</t>
        </is>
      </c>
      <c r="J764" t="inlineStr">
        <is>
          <t>TOOL KIT,GENERAL ME - DFP-627</t>
        </is>
      </c>
      <c r="K764" t="inlineStr">
        <is>
          <t>IS</t>
        </is>
      </c>
      <c r="L764" t="inlineStr">
        <is>
          <t>SE</t>
        </is>
      </c>
      <c r="M764" t="inlineStr">
        <is>
          <t>N</t>
        </is>
      </c>
      <c r="N764" t="n">
        <v>0</v>
      </c>
      <c r="O764" t="n">
        <v>2</v>
      </c>
      <c r="P764" t="n">
        <v>2</v>
      </c>
    </row>
    <row r="765">
      <c r="B765" t="n">
        <v>761</v>
      </c>
      <c r="C765" t="inlineStr">
        <is>
          <t>53010</t>
        </is>
      </c>
      <c r="D765" t="inlineStr">
        <is>
          <t>53010</t>
        </is>
      </c>
      <c r="G765" t="inlineStr">
        <is>
          <t>M29114</t>
        </is>
      </c>
      <c r="H765" t="inlineStr">
        <is>
          <t>C8624</t>
        </is>
      </c>
      <c r="I765" t="inlineStr">
        <is>
          <t>C86248A</t>
        </is>
      </c>
      <c r="J765" t="inlineStr">
        <is>
          <t>AMAL 631 SURGICAL T - AMAL 631</t>
        </is>
      </c>
      <c r="K765" t="inlineStr">
        <is>
          <t>IS</t>
        </is>
      </c>
      <c r="L765" t="inlineStr"/>
      <c r="M765" t="inlineStr">
        <is>
          <t>R</t>
        </is>
      </c>
      <c r="N765" t="n">
        <v>0</v>
      </c>
      <c r="O765" t="n">
        <v>0</v>
      </c>
      <c r="P765" t="n">
        <v>0</v>
      </c>
    </row>
    <row r="766">
      <c r="B766" t="n">
        <v>762</v>
      </c>
      <c r="C766" t="inlineStr">
        <is>
          <t>53010</t>
        </is>
      </c>
      <c r="D766" t="inlineStr">
        <is>
          <t>53010</t>
        </is>
      </c>
      <c r="G766" t="inlineStr">
        <is>
          <t>M29114</t>
        </is>
      </c>
      <c r="H766" t="inlineStr">
        <is>
          <t>C8628</t>
        </is>
      </c>
      <c r="I766" t="inlineStr">
        <is>
          <t>C86288A</t>
        </is>
      </c>
      <c r="J766" t="inlineStr">
        <is>
          <t>AMAL 632 SHK SUR TR - AMAL 632</t>
        </is>
      </c>
      <c r="K766" t="inlineStr">
        <is>
          <t>IS</t>
        </is>
      </c>
      <c r="L766" t="inlineStr"/>
      <c r="M766" t="inlineStr">
        <is>
          <t>N</t>
        </is>
      </c>
      <c r="N766" t="n">
        <v>0</v>
      </c>
      <c r="O766" t="n">
        <v>0</v>
      </c>
      <c r="P766" t="n">
        <v>0</v>
      </c>
    </row>
    <row r="767">
      <c r="B767" t="n">
        <v>763</v>
      </c>
      <c r="C767" t="inlineStr">
        <is>
          <t>53010</t>
        </is>
      </c>
      <c r="D767" t="inlineStr">
        <is>
          <t>53010</t>
        </is>
      </c>
      <c r="G767" t="inlineStr">
        <is>
          <t>M29114</t>
        </is>
      </c>
      <c r="H767" t="inlineStr">
        <is>
          <t>C8648</t>
        </is>
      </c>
      <c r="I767" t="inlineStr">
        <is>
          <t>C86488A</t>
        </is>
      </c>
      <c r="J767" t="inlineStr">
        <is>
          <t>AMAL 638 PREV MED - AMAL 638</t>
        </is>
      </c>
      <c r="K767" t="inlineStr">
        <is>
          <t>IS</t>
        </is>
      </c>
      <c r="L767" t="inlineStr"/>
      <c r="M767" t="inlineStr">
        <is>
          <t>N</t>
        </is>
      </c>
      <c r="N767" t="n">
        <v>0</v>
      </c>
      <c r="O767" t="n">
        <v>0</v>
      </c>
      <c r="P767" t="n">
        <v>0</v>
      </c>
    </row>
    <row r="768">
      <c r="B768" t="n">
        <v>764</v>
      </c>
      <c r="C768" t="inlineStr">
        <is>
          <t>53010</t>
        </is>
      </c>
      <c r="D768" t="inlineStr">
        <is>
          <t>53010</t>
        </is>
      </c>
      <c r="G768" t="inlineStr">
        <is>
          <t>M29114</t>
        </is>
      </c>
      <c r="H768" t="inlineStr">
        <is>
          <t>C8694</t>
        </is>
      </c>
      <c r="I768" t="inlineStr">
        <is>
          <t>C86948A</t>
        </is>
      </c>
      <c r="J768" t="inlineStr">
        <is>
          <t>AMAL 691 MD LOG TST - AMAL 691</t>
        </is>
      </c>
      <c r="K768" t="inlineStr">
        <is>
          <t>IS</t>
        </is>
      </c>
      <c r="L768" t="inlineStr"/>
      <c r="M768" t="inlineStr">
        <is>
          <t>N</t>
        </is>
      </c>
      <c r="N768" t="n">
        <v>0</v>
      </c>
      <c r="O768" t="n">
        <v>0</v>
      </c>
      <c r="P768" t="n">
        <v>0</v>
      </c>
    </row>
    <row r="769">
      <c r="B769" t="n">
        <v>765</v>
      </c>
      <c r="C769" t="inlineStr">
        <is>
          <t>53010</t>
        </is>
      </c>
      <c r="D769" t="inlineStr">
        <is>
          <t>53010</t>
        </is>
      </c>
      <c r="G769" t="inlineStr">
        <is>
          <t>M29114</t>
        </is>
      </c>
      <c r="H769" t="inlineStr">
        <is>
          <t>C8698</t>
        </is>
      </c>
      <c r="I769" t="inlineStr">
        <is>
          <t>C86988A</t>
        </is>
      </c>
      <c r="J769" t="inlineStr">
        <is>
          <t>AMAL 692 MD LG TST - AMAL 692</t>
        </is>
      </c>
      <c r="K769" t="inlineStr">
        <is>
          <t>IS</t>
        </is>
      </c>
      <c r="L769" t="inlineStr"/>
      <c r="M769" t="inlineStr">
        <is>
          <t>N</t>
        </is>
      </c>
      <c r="N769" t="n">
        <v>0</v>
      </c>
      <c r="O769" t="n">
        <v>0</v>
      </c>
      <c r="P769" t="n">
        <v>0</v>
      </c>
    </row>
    <row r="770">
      <c r="B770" t="n">
        <v>766</v>
      </c>
      <c r="C770" t="inlineStr">
        <is>
          <t>53010</t>
        </is>
      </c>
      <c r="D770" t="inlineStr">
        <is>
          <t>53010</t>
        </is>
      </c>
      <c r="G770" t="inlineStr">
        <is>
          <t>M29114</t>
        </is>
      </c>
      <c r="H770" t="inlineStr">
        <is>
          <t>C8740</t>
        </is>
      </c>
      <c r="I770" t="inlineStr">
        <is>
          <t>C87408A</t>
        </is>
      </c>
      <c r="J770" t="inlineStr">
        <is>
          <t>No Item Name Availa - AMAL 699</t>
        </is>
      </c>
      <c r="K770" t="inlineStr">
        <is>
          <t>IS</t>
        </is>
      </c>
      <c r="L770" t="inlineStr"/>
      <c r="M770" t="inlineStr">
        <is>
          <t>N</t>
        </is>
      </c>
      <c r="N770" t="n">
        <v>0</v>
      </c>
      <c r="O770" t="n">
        <v>0</v>
      </c>
      <c r="P770" t="n">
        <v>0</v>
      </c>
    </row>
    <row r="771">
      <c r="B771" t="n">
        <v>767</v>
      </c>
      <c r="C771" t="inlineStr">
        <is>
          <t>21710</t>
        </is>
      </c>
      <c r="D771" t="inlineStr">
        <is>
          <t>21710</t>
        </is>
      </c>
      <c r="G771" t="inlineStr">
        <is>
          <t>M29114</t>
        </is>
      </c>
      <c r="H771" t="inlineStr">
        <is>
          <t>D0003</t>
        </is>
      </c>
      <c r="I771" t="inlineStr">
        <is>
          <t>D00037K</t>
        </is>
      </c>
      <c r="J771" t="inlineStr">
        <is>
          <t>TRUCK,ARMORED,CARGO - AMK23A1</t>
        </is>
      </c>
      <c r="K771" t="inlineStr">
        <is>
          <t>IS</t>
        </is>
      </c>
      <c r="L771" t="inlineStr">
        <is>
          <t>EA</t>
        </is>
      </c>
      <c r="M771" t="inlineStr">
        <is>
          <t>R</t>
        </is>
      </c>
      <c r="N771" t="n">
        <v>0</v>
      </c>
      <c r="O771" t="n">
        <v>3</v>
      </c>
      <c r="P771" t="n">
        <v>3</v>
      </c>
    </row>
    <row r="772">
      <c r="B772" t="n">
        <v>768</v>
      </c>
      <c r="C772" t="inlineStr">
        <is>
          <t>21451</t>
        </is>
      </c>
      <c r="D772" t="inlineStr">
        <is>
          <t>21451</t>
        </is>
      </c>
      <c r="G772" t="inlineStr">
        <is>
          <t>M29114</t>
        </is>
      </c>
      <c r="H772" t="inlineStr">
        <is>
          <t>D0006</t>
        </is>
      </c>
      <c r="I772" t="inlineStr">
        <is>
          <t>D00062B</t>
        </is>
      </c>
      <c r="J772" t="inlineStr">
        <is>
          <t>TOOL KIT,VEHICLE,TA - 4406836-1</t>
        </is>
      </c>
      <c r="K772" t="inlineStr">
        <is>
          <t>IS</t>
        </is>
      </c>
      <c r="L772" t="inlineStr">
        <is>
          <t>EA</t>
        </is>
      </c>
      <c r="M772" t="inlineStr">
        <is>
          <t>N</t>
        </is>
      </c>
      <c r="N772" t="n">
        <v>0</v>
      </c>
      <c r="O772" t="n">
        <v>3</v>
      </c>
      <c r="P772" t="n">
        <v>3</v>
      </c>
    </row>
    <row r="773">
      <c r="B773" t="n">
        <v>769</v>
      </c>
      <c r="C773" t="inlineStr">
        <is>
          <t>21710</t>
        </is>
      </c>
      <c r="D773" t="inlineStr">
        <is>
          <t>21710</t>
        </is>
      </c>
      <c r="G773" t="inlineStr">
        <is>
          <t>M29114</t>
        </is>
      </c>
      <c r="H773" t="inlineStr">
        <is>
          <t>D0015</t>
        </is>
      </c>
      <c r="I773" t="inlineStr">
        <is>
          <t>D00157K</t>
        </is>
      </c>
      <c r="J773" t="inlineStr">
        <is>
          <t>TRUCK,WRECKER,ARMOR - AMK36</t>
        </is>
      </c>
      <c r="K773" t="inlineStr">
        <is>
          <t>IS</t>
        </is>
      </c>
      <c r="L773" t="inlineStr">
        <is>
          <t>EA</t>
        </is>
      </c>
      <c r="M773" t="inlineStr">
        <is>
          <t>M</t>
        </is>
      </c>
      <c r="N773" t="n">
        <v>0</v>
      </c>
      <c r="O773" t="n">
        <v>1</v>
      </c>
      <c r="P773" t="n">
        <v>1</v>
      </c>
    </row>
    <row r="774">
      <c r="B774" t="n">
        <v>770</v>
      </c>
      <c r="C774" t="inlineStr">
        <is>
          <t>21710</t>
        </is>
      </c>
      <c r="D774" t="inlineStr">
        <is>
          <t>21710</t>
        </is>
      </c>
      <c r="G774" t="inlineStr">
        <is>
          <t>M29114</t>
        </is>
      </c>
      <c r="H774" t="inlineStr">
        <is>
          <t>D0045</t>
        </is>
      </c>
      <c r="I774" t="inlineStr">
        <is>
          <t>D00457K</t>
        </is>
      </c>
      <c r="J774" t="inlineStr">
        <is>
          <t>TRUCK,UTILITY - M1280A1</t>
        </is>
      </c>
      <c r="K774" t="inlineStr">
        <is>
          <t>IS</t>
        </is>
      </c>
      <c r="L774" t="inlineStr">
        <is>
          <t>EA</t>
        </is>
      </c>
      <c r="M774" t="inlineStr">
        <is>
          <t>R</t>
        </is>
      </c>
      <c r="N774" t="n">
        <v>0</v>
      </c>
      <c r="O774" t="n">
        <v>5</v>
      </c>
      <c r="P774" t="n">
        <v>5</v>
      </c>
    </row>
    <row r="775">
      <c r="B775" t="n">
        <v>771</v>
      </c>
      <c r="C775" t="inlineStr">
        <is>
          <t>21710</t>
        </is>
      </c>
      <c r="D775" t="inlineStr">
        <is>
          <t>21710</t>
        </is>
      </c>
      <c r="G775" t="inlineStr">
        <is>
          <t>M29114</t>
        </is>
      </c>
      <c r="H775" t="inlineStr">
        <is>
          <t>D0048</t>
        </is>
      </c>
      <c r="I775" t="inlineStr">
        <is>
          <t>D00487K</t>
        </is>
      </c>
      <c r="J775" t="inlineStr">
        <is>
          <t>TRUCK,UTILITY - M1279A1</t>
        </is>
      </c>
      <c r="K775" t="inlineStr">
        <is>
          <t>IS</t>
        </is>
      </c>
      <c r="L775" t="inlineStr">
        <is>
          <t>EA</t>
        </is>
      </c>
      <c r="M775" t="inlineStr">
        <is>
          <t>R</t>
        </is>
      </c>
      <c r="N775" t="n">
        <v>0</v>
      </c>
      <c r="O775" t="n">
        <v>3</v>
      </c>
      <c r="P775" t="n">
        <v>3</v>
      </c>
    </row>
    <row r="776">
      <c r="B776" t="n">
        <v>772</v>
      </c>
      <c r="C776" t="inlineStr">
        <is>
          <t>21710</t>
        </is>
      </c>
      <c r="D776" t="inlineStr">
        <is>
          <t>21710</t>
        </is>
      </c>
      <c r="G776" t="inlineStr">
        <is>
          <t>M29114</t>
        </is>
      </c>
      <c r="H776" t="inlineStr">
        <is>
          <t>D0058</t>
        </is>
      </c>
      <c r="I776" t="inlineStr">
        <is>
          <t>D00587K</t>
        </is>
      </c>
      <c r="J776" t="inlineStr">
        <is>
          <t>TRAILER,CARGO</t>
        </is>
      </c>
      <c r="K776" t="inlineStr">
        <is>
          <t>IS</t>
        </is>
      </c>
      <c r="L776" t="inlineStr">
        <is>
          <t>EA</t>
        </is>
      </c>
      <c r="M776" t="inlineStr">
        <is>
          <t>N</t>
        </is>
      </c>
      <c r="N776" t="n">
        <v>0</v>
      </c>
      <c r="O776" t="n">
        <v>2</v>
      </c>
      <c r="P776" t="n">
        <v>2</v>
      </c>
    </row>
    <row r="777">
      <c r="B777" t="n">
        <v>773</v>
      </c>
      <c r="C777" t="inlineStr">
        <is>
          <t>21451</t>
        </is>
      </c>
      <c r="D777" t="inlineStr">
        <is>
          <t>21451</t>
        </is>
      </c>
      <c r="G777" t="inlineStr">
        <is>
          <t>M29114</t>
        </is>
      </c>
      <c r="H777" t="inlineStr">
        <is>
          <t>D0475</t>
        </is>
      </c>
      <c r="I777" t="inlineStr">
        <is>
          <t>D04752E</t>
        </is>
      </c>
      <c r="J777" t="inlineStr">
        <is>
          <t>TOOL KIT,VEHICLE,TA - W</t>
        </is>
      </c>
      <c r="K777" t="inlineStr">
        <is>
          <t>IS</t>
        </is>
      </c>
      <c r="L777" t="inlineStr">
        <is>
          <t>EA</t>
        </is>
      </c>
      <c r="M777" t="inlineStr">
        <is>
          <t>N</t>
        </is>
      </c>
      <c r="N777" t="n">
        <v>0</v>
      </c>
      <c r="O777" t="n">
        <v>1</v>
      </c>
      <c r="P777" t="n">
        <v>1</v>
      </c>
    </row>
    <row r="778">
      <c r="B778" t="n">
        <v>774</v>
      </c>
      <c r="C778" t="inlineStr">
        <is>
          <t>21451</t>
        </is>
      </c>
      <c r="D778" t="inlineStr">
        <is>
          <t>21451</t>
        </is>
      </c>
      <c r="G778" t="inlineStr">
        <is>
          <t>M29114</t>
        </is>
      </c>
      <c r="H778" t="inlineStr">
        <is>
          <t>D0476</t>
        </is>
      </c>
      <c r="I778" t="inlineStr">
        <is>
          <t>D04762E</t>
        </is>
      </c>
      <c r="J778" t="inlineStr">
        <is>
          <t>TOOL KIT,VEHICLE,TA - 57K0268</t>
        </is>
      </c>
      <c r="K778" t="inlineStr">
        <is>
          <t>IS</t>
        </is>
      </c>
      <c r="L778" t="inlineStr">
        <is>
          <t>KT</t>
        </is>
      </c>
      <c r="M778" t="inlineStr">
        <is>
          <t>N</t>
        </is>
      </c>
      <c r="N778" t="n">
        <v>0</v>
      </c>
      <c r="O778" t="n">
        <v>1</v>
      </c>
      <c r="P778" t="n">
        <v>1</v>
      </c>
    </row>
    <row r="779">
      <c r="B779" t="n">
        <v>775</v>
      </c>
      <c r="C779" t="inlineStr">
        <is>
          <t>21451</t>
        </is>
      </c>
      <c r="D779" t="inlineStr">
        <is>
          <t>21451</t>
        </is>
      </c>
      <c r="G779" t="inlineStr">
        <is>
          <t>M29114</t>
        </is>
      </c>
      <c r="H779" t="inlineStr">
        <is>
          <t>D0752</t>
        </is>
      </c>
      <c r="I779" t="inlineStr">
        <is>
          <t>D07522E</t>
        </is>
      </c>
      <c r="J779" t="inlineStr">
        <is>
          <t>TOOL KIT,VEHICLE,TA - 4SK843</t>
        </is>
      </c>
      <c r="K779" t="inlineStr">
        <is>
          <t>IS</t>
        </is>
      </c>
      <c r="L779" t="inlineStr">
        <is>
          <t>KT</t>
        </is>
      </c>
      <c r="M779" t="inlineStr">
        <is>
          <t>N</t>
        </is>
      </c>
      <c r="N779" t="n">
        <v>0</v>
      </c>
      <c r="O779" t="n">
        <v>2</v>
      </c>
      <c r="P779" t="n">
        <v>2</v>
      </c>
    </row>
    <row r="780">
      <c r="B780" t="n">
        <v>776</v>
      </c>
      <c r="C780" t="inlineStr">
        <is>
          <t>21710</t>
        </is>
      </c>
      <c r="D780" t="inlineStr">
        <is>
          <t>21710</t>
        </is>
      </c>
      <c r="G780" t="inlineStr">
        <is>
          <t>M29114</t>
        </is>
      </c>
      <c r="H780" t="inlineStr">
        <is>
          <t>D1001</t>
        </is>
      </c>
      <c r="I780" t="inlineStr">
        <is>
          <t>D10017K</t>
        </is>
      </c>
      <c r="J780" t="inlineStr">
        <is>
          <t>TRUCK,AMBULANCE - M997A2</t>
        </is>
      </c>
      <c r="K780" t="inlineStr">
        <is>
          <t>IS</t>
        </is>
      </c>
      <c r="L780" t="inlineStr">
        <is>
          <t>EA</t>
        </is>
      </c>
      <c r="M780" t="inlineStr">
        <is>
          <t>R</t>
        </is>
      </c>
      <c r="N780" t="n">
        <v>0</v>
      </c>
      <c r="O780" t="n">
        <v>3</v>
      </c>
      <c r="P780" t="n">
        <v>3</v>
      </c>
    </row>
    <row r="781">
      <c r="B781" t="n">
        <v>777</v>
      </c>
      <c r="C781" t="inlineStr">
        <is>
          <t>21710</t>
        </is>
      </c>
      <c r="D781" t="inlineStr">
        <is>
          <t>21710</t>
        </is>
      </c>
      <c r="G781" t="inlineStr">
        <is>
          <t>M29114</t>
        </is>
      </c>
      <c r="H781" t="inlineStr">
        <is>
          <t>D1002</t>
        </is>
      </c>
      <c r="I781" t="inlineStr">
        <is>
          <t>D10027K</t>
        </is>
      </c>
      <c r="J781" t="inlineStr">
        <is>
          <t>TRUCK,AMBULANCE - M1035A2</t>
        </is>
      </c>
      <c r="K781" t="inlineStr">
        <is>
          <t>IS</t>
        </is>
      </c>
      <c r="L781" t="inlineStr">
        <is>
          <t>EA</t>
        </is>
      </c>
      <c r="M781" t="inlineStr">
        <is>
          <t>R</t>
        </is>
      </c>
      <c r="N781" t="n">
        <v>0</v>
      </c>
      <c r="O781" t="n">
        <v>0</v>
      </c>
      <c r="P781" t="n">
        <v>0</v>
      </c>
    </row>
    <row r="782">
      <c r="B782" t="n">
        <v>778</v>
      </c>
      <c r="C782" t="inlineStr">
        <is>
          <t>21451</t>
        </is>
      </c>
      <c r="D782" t="inlineStr">
        <is>
          <t>21451</t>
        </is>
      </c>
      <c r="G782" t="inlineStr">
        <is>
          <t>M29114</t>
        </is>
      </c>
      <c r="H782" t="inlineStr">
        <is>
          <t>D7000</t>
        </is>
      </c>
      <c r="I782" t="inlineStr">
        <is>
          <t>D70002B</t>
        </is>
      </c>
      <c r="J782" t="inlineStr">
        <is>
          <t>ANALYZER SET,VEHICU - 10010A0000</t>
        </is>
      </c>
      <c r="K782" t="inlineStr">
        <is>
          <t>DP</t>
        </is>
      </c>
      <c r="L782" t="inlineStr">
        <is>
          <t>EA</t>
        </is>
      </c>
      <c r="M782" t="inlineStr">
        <is>
          <t>N</t>
        </is>
      </c>
      <c r="N782" t="n">
        <v>0</v>
      </c>
      <c r="O782" t="n">
        <v>0</v>
      </c>
      <c r="P782" t="n">
        <v>0</v>
      </c>
    </row>
    <row r="783">
      <c r="B783" t="n">
        <v>779</v>
      </c>
      <c r="C783" t="inlineStr">
        <is>
          <t>14345</t>
        </is>
      </c>
      <c r="D783" t="inlineStr">
        <is>
          <t>14345</t>
        </is>
      </c>
      <c r="G783" t="inlineStr">
        <is>
          <t>M29114</t>
        </is>
      </c>
      <c r="H783" t="inlineStr">
        <is>
          <t>E0013</t>
        </is>
      </c>
      <c r="I783" t="inlineStr">
        <is>
          <t>E00132B</t>
        </is>
      </c>
      <c r="J783" t="inlineStr">
        <is>
          <t>TELESCOPE,ARTICULAT - M8541</t>
        </is>
      </c>
      <c r="K783" t="inlineStr">
        <is>
          <t>IS</t>
        </is>
      </c>
      <c r="L783" t="inlineStr">
        <is>
          <t>EA</t>
        </is>
      </c>
      <c r="M783" t="inlineStr">
        <is>
          <t>R</t>
        </is>
      </c>
      <c r="N783" t="n">
        <v>0</v>
      </c>
      <c r="O783" t="n">
        <v>0</v>
      </c>
      <c r="P783" t="n">
        <v>0</v>
      </c>
    </row>
    <row r="784">
      <c r="B784" t="n">
        <v>780</v>
      </c>
      <c r="C784" t="inlineStr">
        <is>
          <t>14345</t>
        </is>
      </c>
      <c r="D784" t="inlineStr">
        <is>
          <t>14345</t>
        </is>
      </c>
      <c r="G784" t="inlineStr">
        <is>
          <t>M29114</t>
        </is>
      </c>
      <c r="H784" t="inlineStr">
        <is>
          <t>E0017</t>
        </is>
      </c>
      <c r="I784" t="inlineStr">
        <is>
          <t>E00172B</t>
        </is>
      </c>
      <c r="J784" t="inlineStr">
        <is>
          <t>SIGHT,BORE,OPTICAL - M7</t>
        </is>
      </c>
      <c r="K784" t="inlineStr">
        <is>
          <t>IS</t>
        </is>
      </c>
      <c r="L784" t="inlineStr">
        <is>
          <t>EA</t>
        </is>
      </c>
      <c r="M784" t="inlineStr">
        <is>
          <t>N</t>
        </is>
      </c>
      <c r="N784" t="n">
        <v>36</v>
      </c>
      <c r="O784" t="n">
        <v>0</v>
      </c>
      <c r="P784" t="n">
        <v>36</v>
      </c>
    </row>
    <row r="785">
      <c r="B785" t="n">
        <v>781</v>
      </c>
      <c r="C785" t="inlineStr">
        <is>
          <t>14345</t>
        </is>
      </c>
      <c r="D785" t="inlineStr">
        <is>
          <t>14345</t>
        </is>
      </c>
      <c r="G785" t="inlineStr">
        <is>
          <t>M29114</t>
        </is>
      </c>
      <c r="H785" t="inlineStr">
        <is>
          <t>E0021</t>
        </is>
      </c>
      <c r="I785" t="inlineStr">
        <is>
          <t>E00212B</t>
        </is>
      </c>
      <c r="J785" t="inlineStr">
        <is>
          <t>MODIFICATION KIT,MI - 2600061-5</t>
        </is>
      </c>
      <c r="K785" t="inlineStr">
        <is>
          <t>IS</t>
        </is>
      </c>
      <c r="L785" t="inlineStr">
        <is>
          <t>KT</t>
        </is>
      </c>
      <c r="M785" t="inlineStr">
        <is>
          <t>N</t>
        </is>
      </c>
      <c r="N785" t="n">
        <v>0</v>
      </c>
      <c r="O785" t="n">
        <v>0</v>
      </c>
      <c r="P785" t="n">
        <v>0</v>
      </c>
    </row>
    <row r="786">
      <c r="B786" t="n">
        <v>782</v>
      </c>
      <c r="C786" t="inlineStr">
        <is>
          <t>14345</t>
        </is>
      </c>
      <c r="D786" t="inlineStr">
        <is>
          <t>14345</t>
        </is>
      </c>
      <c r="G786" t="inlineStr">
        <is>
          <t>M29114</t>
        </is>
      </c>
      <c r="H786" t="inlineStr">
        <is>
          <t>E0030</t>
        </is>
      </c>
      <c r="I786" t="inlineStr">
        <is>
          <t>E00302M</t>
        </is>
      </c>
      <c r="J786" t="inlineStr">
        <is>
          <t>PISTOL,9 MILLIMETER - M18</t>
        </is>
      </c>
      <c r="K786" t="inlineStr">
        <is>
          <t>IS</t>
        </is>
      </c>
      <c r="L786" t="inlineStr">
        <is>
          <t>EA</t>
        </is>
      </c>
      <c r="M786" t="inlineStr">
        <is>
          <t>N</t>
        </is>
      </c>
      <c r="N786" t="n">
        <v>7</v>
      </c>
      <c r="O786" t="n">
        <v>0</v>
      </c>
      <c r="P786" t="n">
        <v>7</v>
      </c>
    </row>
    <row r="787">
      <c r="B787" t="n">
        <v>783</v>
      </c>
      <c r="C787" t="inlineStr">
        <is>
          <t>14345</t>
        </is>
      </c>
      <c r="D787" t="inlineStr">
        <is>
          <t>14345</t>
        </is>
      </c>
      <c r="G787" t="inlineStr">
        <is>
          <t>M29114</t>
        </is>
      </c>
      <c r="H787" t="inlineStr">
        <is>
          <t>E0041</t>
        </is>
      </c>
      <c r="I787" t="inlineStr">
        <is>
          <t>E00412B</t>
        </is>
      </c>
      <c r="J787" t="inlineStr">
        <is>
          <t>SIGHT,REFLEX - M571</t>
        </is>
      </c>
      <c r="K787" t="inlineStr">
        <is>
          <t>IS</t>
        </is>
      </c>
      <c r="L787" t="inlineStr">
        <is>
          <t>EA</t>
        </is>
      </c>
      <c r="M787" t="inlineStr">
        <is>
          <t>N</t>
        </is>
      </c>
      <c r="N787" t="n">
        <v>0</v>
      </c>
      <c r="O787" t="n">
        <v>0</v>
      </c>
      <c r="P787" t="n">
        <v>0</v>
      </c>
    </row>
    <row r="788">
      <c r="B788" t="n">
        <v>784</v>
      </c>
      <c r="C788" t="inlineStr">
        <is>
          <t>14326</t>
        </is>
      </c>
      <c r="D788" t="inlineStr">
        <is>
          <t>14326</t>
        </is>
      </c>
      <c r="G788" t="inlineStr">
        <is>
          <t>M29114</t>
        </is>
      </c>
      <c r="H788" t="inlineStr">
        <is>
          <t>E0050</t>
        </is>
      </c>
      <c r="I788" t="inlineStr">
        <is>
          <t>E00502E</t>
        </is>
      </c>
      <c r="J788" t="inlineStr">
        <is>
          <t>BAYONET-KNIFE - OKC3S</t>
        </is>
      </c>
      <c r="K788" t="inlineStr">
        <is>
          <t>IS</t>
        </is>
      </c>
      <c r="L788" t="inlineStr">
        <is>
          <t>EA</t>
        </is>
      </c>
      <c r="M788" t="inlineStr">
        <is>
          <t>N</t>
        </is>
      </c>
      <c r="N788" t="n">
        <v>99</v>
      </c>
      <c r="O788" t="n">
        <v>0</v>
      </c>
      <c r="P788" t="n">
        <v>99</v>
      </c>
    </row>
    <row r="789">
      <c r="B789" t="n">
        <v>785</v>
      </c>
      <c r="C789" t="inlineStr">
        <is>
          <t>14345</t>
        </is>
      </c>
      <c r="D789" t="inlineStr">
        <is>
          <t>14345</t>
        </is>
      </c>
      <c r="G789" t="inlineStr">
        <is>
          <t>M29114</t>
        </is>
      </c>
      <c r="H789" t="inlineStr">
        <is>
          <t>E0081</t>
        </is>
      </c>
      <c r="I789" t="inlineStr">
        <is>
          <t>E00817B</t>
        </is>
      </c>
      <c r="J789" t="inlineStr">
        <is>
          <t>MOUNT,MACHINE GUN - M35</t>
        </is>
      </c>
      <c r="K789" t="inlineStr">
        <is>
          <t>IS</t>
        </is>
      </c>
      <c r="L789" t="inlineStr">
        <is>
          <t>EA</t>
        </is>
      </c>
      <c r="M789" t="inlineStr">
        <is>
          <t>N</t>
        </is>
      </c>
      <c r="N789" t="n">
        <v>2</v>
      </c>
      <c r="O789" t="n">
        <v>0</v>
      </c>
      <c r="P789" t="n">
        <v>2</v>
      </c>
    </row>
    <row r="790">
      <c r="B790" t="n">
        <v>786</v>
      </c>
      <c r="C790" t="inlineStr">
        <is>
          <t>14345</t>
        </is>
      </c>
      <c r="D790" t="inlineStr">
        <is>
          <t>14345</t>
        </is>
      </c>
      <c r="G790" t="inlineStr">
        <is>
          <t>M29114</t>
        </is>
      </c>
      <c r="H790" t="inlineStr">
        <is>
          <t>E0082</t>
        </is>
      </c>
      <c r="I790" t="inlineStr">
        <is>
          <t>E00822B</t>
        </is>
      </c>
      <c r="J790" t="inlineStr">
        <is>
          <t>SIGHT UNIT - TA11SDO</t>
        </is>
      </c>
      <c r="K790" t="inlineStr">
        <is>
          <t>IS</t>
        </is>
      </c>
      <c r="L790" t="inlineStr">
        <is>
          <t>EA</t>
        </is>
      </c>
      <c r="M790" t="inlineStr">
        <is>
          <t>N</t>
        </is>
      </c>
      <c r="N790" t="n">
        <v>0</v>
      </c>
      <c r="O790" t="n">
        <v>0</v>
      </c>
      <c r="P790" t="n">
        <v>0</v>
      </c>
    </row>
    <row r="791">
      <c r="B791" t="n">
        <v>787</v>
      </c>
      <c r="C791" t="inlineStr">
        <is>
          <t>14345</t>
        </is>
      </c>
      <c r="D791" t="inlineStr">
        <is>
          <t>14345</t>
        </is>
      </c>
      <c r="G791" t="inlineStr">
        <is>
          <t>M29114</t>
        </is>
      </c>
      <c r="H791" t="inlineStr">
        <is>
          <t>E0088</t>
        </is>
      </c>
      <c r="I791" t="inlineStr">
        <is>
          <t>E00887B</t>
        </is>
      </c>
      <c r="J791" t="inlineStr">
        <is>
          <t>SIGHT UNIT - TA648MDO</t>
        </is>
      </c>
      <c r="K791" t="inlineStr">
        <is>
          <t>IS</t>
        </is>
      </c>
      <c r="L791" t="inlineStr">
        <is>
          <t>EA</t>
        </is>
      </c>
      <c r="M791" t="inlineStr">
        <is>
          <t>N</t>
        </is>
      </c>
      <c r="N791" t="n">
        <v>2</v>
      </c>
      <c r="O791" t="n">
        <v>0</v>
      </c>
      <c r="P791" t="n">
        <v>2</v>
      </c>
    </row>
    <row r="792">
      <c r="B792" t="n">
        <v>788</v>
      </c>
      <c r="C792" t="inlineStr">
        <is>
          <t>14345</t>
        </is>
      </c>
      <c r="D792" t="inlineStr">
        <is>
          <t>14345</t>
        </is>
      </c>
      <c r="G792" t="inlineStr">
        <is>
          <t>M29114</t>
        </is>
      </c>
      <c r="H792" t="inlineStr">
        <is>
          <t>E0099</t>
        </is>
      </c>
      <c r="I792" t="inlineStr">
        <is>
          <t>E00992B</t>
        </is>
      </c>
      <c r="J792" t="inlineStr">
        <is>
          <t>SIGHT,REFLEX - 552.65A</t>
        </is>
      </c>
      <c r="K792" t="inlineStr">
        <is>
          <t>IS</t>
        </is>
      </c>
      <c r="L792" t="inlineStr">
        <is>
          <t>EA</t>
        </is>
      </c>
      <c r="M792" t="inlineStr">
        <is>
          <t>N</t>
        </is>
      </c>
      <c r="N792" t="n">
        <v>0</v>
      </c>
      <c r="O792" t="n">
        <v>0</v>
      </c>
      <c r="P792" t="n">
        <v>0</v>
      </c>
    </row>
    <row r="793">
      <c r="B793" t="n">
        <v>789</v>
      </c>
      <c r="C793" t="inlineStr">
        <is>
          <t>14345</t>
        </is>
      </c>
      <c r="D793" t="inlineStr">
        <is>
          <t>14345</t>
        </is>
      </c>
      <c r="G793" t="inlineStr">
        <is>
          <t>M29114</t>
        </is>
      </c>
      <c r="H793" t="inlineStr">
        <is>
          <t>E0100</t>
        </is>
      </c>
      <c r="I793" t="inlineStr">
        <is>
          <t>E01002M</t>
        </is>
      </c>
      <c r="J793" t="inlineStr">
        <is>
          <t>RIFLE,5.56 MILLIMET - M27 IAR</t>
        </is>
      </c>
      <c r="K793" t="inlineStr">
        <is>
          <t>IS</t>
        </is>
      </c>
      <c r="L793" t="inlineStr">
        <is>
          <t>EA</t>
        </is>
      </c>
      <c r="M793" t="inlineStr">
        <is>
          <t>N</t>
        </is>
      </c>
      <c r="N793" t="n">
        <v>0</v>
      </c>
      <c r="O793" t="n">
        <v>0</v>
      </c>
      <c r="P793" t="n">
        <v>0</v>
      </c>
    </row>
    <row r="794">
      <c r="B794" t="n">
        <v>790</v>
      </c>
      <c r="C794" t="inlineStr">
        <is>
          <t>14345</t>
        </is>
      </c>
      <c r="D794" t="inlineStr">
        <is>
          <t>14345</t>
        </is>
      </c>
      <c r="G794" t="inlineStr">
        <is>
          <t>M29114</t>
        </is>
      </c>
      <c r="H794" t="inlineStr">
        <is>
          <t>E0113</t>
        </is>
      </c>
      <c r="I794" t="inlineStr">
        <is>
          <t>E01132M</t>
        </is>
      </c>
      <c r="J794" t="inlineStr">
        <is>
          <t>SILENCER,GUN - SOCOM762-RC-DE</t>
        </is>
      </c>
      <c r="K794" t="inlineStr">
        <is>
          <t>DP</t>
        </is>
      </c>
      <c r="L794" t="inlineStr">
        <is>
          <t>EA</t>
        </is>
      </c>
      <c r="M794" t="inlineStr">
        <is>
          <t>N</t>
        </is>
      </c>
      <c r="N794" t="n">
        <v>0</v>
      </c>
      <c r="O794" t="n">
        <v>0</v>
      </c>
      <c r="P794" t="n">
        <v>0</v>
      </c>
    </row>
    <row r="795">
      <c r="B795" t="n">
        <v>791</v>
      </c>
      <c r="C795" t="inlineStr">
        <is>
          <t>14345</t>
        </is>
      </c>
      <c r="D795" t="inlineStr">
        <is>
          <t>14345</t>
        </is>
      </c>
      <c r="G795" t="inlineStr">
        <is>
          <t>M29114</t>
        </is>
      </c>
      <c r="H795" t="inlineStr">
        <is>
          <t>E0114</t>
        </is>
      </c>
      <c r="I795" t="inlineStr">
        <is>
          <t>E01142B</t>
        </is>
      </c>
      <c r="J795" t="inlineStr">
        <is>
          <t>SIGHT,BORE,OPTICAL - M83</t>
        </is>
      </c>
      <c r="K795" t="inlineStr">
        <is>
          <t>IS</t>
        </is>
      </c>
      <c r="L795" t="inlineStr">
        <is>
          <t>EA</t>
        </is>
      </c>
      <c r="M795" t="inlineStr">
        <is>
          <t>N</t>
        </is>
      </c>
      <c r="N795" t="n">
        <v>0</v>
      </c>
      <c r="O795" t="n">
        <v>0</v>
      </c>
      <c r="P795" t="n">
        <v>0</v>
      </c>
    </row>
    <row r="796">
      <c r="B796" t="n">
        <v>792</v>
      </c>
      <c r="C796" t="inlineStr">
        <is>
          <t>14345</t>
        </is>
      </c>
      <c r="D796" t="inlineStr">
        <is>
          <t>14345</t>
        </is>
      </c>
      <c r="G796" t="inlineStr">
        <is>
          <t>M29114</t>
        </is>
      </c>
      <c r="H796" t="inlineStr">
        <is>
          <t>E0123</t>
        </is>
      </c>
      <c r="I796" t="inlineStr">
        <is>
          <t>E01237M</t>
        </is>
      </c>
      <c r="J796" t="inlineStr">
        <is>
          <t>MACHINE GUN,CALIBER - M2A1</t>
        </is>
      </c>
      <c r="K796" t="inlineStr">
        <is>
          <t>IS</t>
        </is>
      </c>
      <c r="L796" t="inlineStr">
        <is>
          <t>EA</t>
        </is>
      </c>
      <c r="M796" t="inlineStr">
        <is>
          <t>M</t>
        </is>
      </c>
      <c r="N796" t="n">
        <v>0</v>
      </c>
      <c r="O796" t="n">
        <v>0</v>
      </c>
      <c r="P796" t="n">
        <v>0</v>
      </c>
    </row>
    <row r="797">
      <c r="B797" t="n">
        <v>793</v>
      </c>
      <c r="C797" t="inlineStr">
        <is>
          <t>14345</t>
        </is>
      </c>
      <c r="D797" t="inlineStr">
        <is>
          <t>14345</t>
        </is>
      </c>
      <c r="G797" t="inlineStr">
        <is>
          <t>M29114</t>
        </is>
      </c>
      <c r="H797" t="inlineStr">
        <is>
          <t>E0127</t>
        </is>
      </c>
      <c r="I797" t="inlineStr">
        <is>
          <t>E01272M</t>
        </is>
      </c>
      <c r="J797" t="inlineStr">
        <is>
          <t>SUPPRESSOR,SMALL AR - 96062-2</t>
        </is>
      </c>
      <c r="K797" t="inlineStr">
        <is>
          <t>IS</t>
        </is>
      </c>
      <c r="L797" t="inlineStr">
        <is>
          <t>EA</t>
        </is>
      </c>
      <c r="M797" t="inlineStr">
        <is>
          <t>N</t>
        </is>
      </c>
      <c r="N797" t="n">
        <v>0</v>
      </c>
      <c r="O797" t="n">
        <v>0</v>
      </c>
      <c r="P797" t="n">
        <v>0</v>
      </c>
    </row>
    <row r="798">
      <c r="B798" t="n">
        <v>794</v>
      </c>
      <c r="C798" t="inlineStr">
        <is>
          <t>14345</t>
        </is>
      </c>
      <c r="D798" t="inlineStr">
        <is>
          <t>14345</t>
        </is>
      </c>
      <c r="G798" t="inlineStr">
        <is>
          <t>M29114</t>
        </is>
      </c>
      <c r="H798" t="inlineStr">
        <is>
          <t>E0173</t>
        </is>
      </c>
      <c r="I798" t="inlineStr">
        <is>
          <t>E01732G</t>
        </is>
      </c>
      <c r="J798" t="inlineStr">
        <is>
          <t>ILLUMINATOR,INTEGRA</t>
        </is>
      </c>
      <c r="K798" t="inlineStr">
        <is>
          <t>IS</t>
        </is>
      </c>
      <c r="L798" t="inlineStr">
        <is>
          <t>EA</t>
        </is>
      </c>
      <c r="M798" t="inlineStr">
        <is>
          <t>N</t>
        </is>
      </c>
      <c r="N798" t="n">
        <v>0</v>
      </c>
      <c r="O798" t="n">
        <v>0</v>
      </c>
      <c r="P798" t="n">
        <v>0</v>
      </c>
    </row>
    <row r="799">
      <c r="B799" t="n">
        <v>795</v>
      </c>
      <c r="C799" t="inlineStr">
        <is>
          <t>14345</t>
        </is>
      </c>
      <c r="D799" t="inlineStr">
        <is>
          <t>14345</t>
        </is>
      </c>
      <c r="G799" t="inlineStr">
        <is>
          <t>M29114</t>
        </is>
      </c>
      <c r="H799" t="inlineStr">
        <is>
          <t>E0187</t>
        </is>
      </c>
      <c r="I799" t="inlineStr">
        <is>
          <t>E01877B</t>
        </is>
      </c>
      <c r="J799" t="inlineStr">
        <is>
          <t>SIGHT,NIGHT VISION - 1019765-101</t>
        </is>
      </c>
      <c r="K799" t="inlineStr">
        <is>
          <t>IS</t>
        </is>
      </c>
      <c r="L799" t="inlineStr">
        <is>
          <t>KT</t>
        </is>
      </c>
      <c r="M799" t="inlineStr">
        <is>
          <t>R</t>
        </is>
      </c>
      <c r="N799" t="n">
        <v>0</v>
      </c>
      <c r="O799" t="n">
        <v>0</v>
      </c>
      <c r="P799" t="n">
        <v>0</v>
      </c>
    </row>
    <row r="800">
      <c r="B800" t="n">
        <v>796</v>
      </c>
      <c r="C800" t="inlineStr">
        <is>
          <t>14345</t>
        </is>
      </c>
      <c r="D800" t="inlineStr">
        <is>
          <t>14345</t>
        </is>
      </c>
      <c r="G800" t="inlineStr">
        <is>
          <t>M29114</t>
        </is>
      </c>
      <c r="H800" t="inlineStr">
        <is>
          <t>E0190</t>
        </is>
      </c>
      <c r="I800" t="inlineStr">
        <is>
          <t>E01902M</t>
        </is>
      </c>
      <c r="J800" t="inlineStr">
        <is>
          <t>CARBINE,5.56 MILLIM - M4A1</t>
        </is>
      </c>
      <c r="K800" t="inlineStr">
        <is>
          <t>IS</t>
        </is>
      </c>
      <c r="L800" t="inlineStr">
        <is>
          <t>EA</t>
        </is>
      </c>
      <c r="M800" t="inlineStr">
        <is>
          <t>N</t>
        </is>
      </c>
      <c r="N800" t="n">
        <v>0</v>
      </c>
      <c r="O800" t="n">
        <v>0</v>
      </c>
      <c r="P800" t="n">
        <v>0</v>
      </c>
    </row>
    <row r="801">
      <c r="B801" t="n">
        <v>797</v>
      </c>
      <c r="C801" t="inlineStr">
        <is>
          <t>14345</t>
        </is>
      </c>
      <c r="D801" t="inlineStr">
        <is>
          <t>14345</t>
        </is>
      </c>
      <c r="G801" t="inlineStr">
        <is>
          <t>M29114</t>
        </is>
      </c>
      <c r="H801" t="inlineStr">
        <is>
          <t>E0195</t>
        </is>
      </c>
      <c r="I801" t="inlineStr">
        <is>
          <t>E01952M</t>
        </is>
      </c>
      <c r="J801" t="inlineStr">
        <is>
          <t>CARBINE,5.56 MILLIM - M4</t>
        </is>
      </c>
      <c r="K801" t="inlineStr">
        <is>
          <t>IS</t>
        </is>
      </c>
      <c r="L801" t="inlineStr">
        <is>
          <t>EA</t>
        </is>
      </c>
      <c r="M801" t="inlineStr">
        <is>
          <t>N</t>
        </is>
      </c>
      <c r="N801" t="n">
        <v>36</v>
      </c>
      <c r="O801" t="n">
        <v>0</v>
      </c>
      <c r="P801" t="n">
        <v>36</v>
      </c>
    </row>
    <row r="802">
      <c r="B802" t="n">
        <v>798</v>
      </c>
      <c r="C802" t="inlineStr">
        <is>
          <t>14345</t>
        </is>
      </c>
      <c r="D802" t="inlineStr">
        <is>
          <t>14345</t>
        </is>
      </c>
      <c r="G802" t="inlineStr">
        <is>
          <t>M29114</t>
        </is>
      </c>
      <c r="H802" t="inlineStr">
        <is>
          <t>E0201</t>
        </is>
      </c>
      <c r="I802" t="inlineStr">
        <is>
          <t>E02012M</t>
        </is>
      </c>
      <c r="J802" t="inlineStr">
        <is>
          <t>SUPPRESSOR,SMALL AR</t>
        </is>
      </c>
      <c r="K802" t="inlineStr">
        <is>
          <t>IS</t>
        </is>
      </c>
      <c r="L802" t="inlineStr">
        <is>
          <t>EA</t>
        </is>
      </c>
      <c r="M802" t="inlineStr">
        <is>
          <t>N</t>
        </is>
      </c>
      <c r="N802" t="n">
        <v>0</v>
      </c>
      <c r="O802" t="n">
        <v>0</v>
      </c>
      <c r="P802" t="n">
        <v>0</v>
      </c>
    </row>
    <row r="803">
      <c r="B803" t="n">
        <v>799</v>
      </c>
      <c r="C803" t="inlineStr">
        <is>
          <t>14345</t>
        </is>
      </c>
      <c r="D803" t="inlineStr">
        <is>
          <t>14345</t>
        </is>
      </c>
      <c r="G803" t="inlineStr">
        <is>
          <t>M29114</t>
        </is>
      </c>
      <c r="H803" t="inlineStr">
        <is>
          <t>E0202</t>
        </is>
      </c>
      <c r="I803" t="inlineStr">
        <is>
          <t>E02022B</t>
        </is>
      </c>
      <c r="J803" t="inlineStr">
        <is>
          <t>TELESCOPE,STRAIGHT - M317</t>
        </is>
      </c>
      <c r="K803" t="inlineStr">
        <is>
          <t>IS</t>
        </is>
      </c>
      <c r="L803" t="inlineStr">
        <is>
          <t>EA</t>
        </is>
      </c>
      <c r="M803" t="inlineStr">
        <is>
          <t>R</t>
        </is>
      </c>
      <c r="N803" t="n">
        <v>0</v>
      </c>
      <c r="O803" t="n">
        <v>0</v>
      </c>
      <c r="P803" t="n">
        <v>0</v>
      </c>
    </row>
    <row r="804">
      <c r="B804" t="n">
        <v>800</v>
      </c>
      <c r="C804" t="inlineStr">
        <is>
          <t>14345</t>
        </is>
      </c>
      <c r="D804" t="inlineStr">
        <is>
          <t>14345</t>
        </is>
      </c>
      <c r="G804" t="inlineStr">
        <is>
          <t>M29114</t>
        </is>
      </c>
      <c r="H804" t="inlineStr">
        <is>
          <t>E0212</t>
        </is>
      </c>
      <c r="I804" t="inlineStr">
        <is>
          <t>E02122B</t>
        </is>
      </c>
      <c r="J804" t="inlineStr">
        <is>
          <t>TELESCOPE,STRAIGHT - M311</t>
        </is>
      </c>
      <c r="K804" t="inlineStr">
        <is>
          <t>PL</t>
        </is>
      </c>
      <c r="L804" t="inlineStr">
        <is>
          <t>EA</t>
        </is>
      </c>
      <c r="M804" t="inlineStr">
        <is>
          <t>N</t>
        </is>
      </c>
      <c r="N804" t="n">
        <v>0</v>
      </c>
      <c r="O804" t="n">
        <v>0</v>
      </c>
      <c r="P804" t="n">
        <v>0</v>
      </c>
    </row>
    <row r="805">
      <c r="B805" t="n">
        <v>801</v>
      </c>
      <c r="C805" t="inlineStr">
        <is>
          <t>14326</t>
        </is>
      </c>
      <c r="D805" t="inlineStr">
        <is>
          <t>14326</t>
        </is>
      </c>
      <c r="G805" t="inlineStr">
        <is>
          <t>M29114</t>
        </is>
      </c>
      <c r="H805" t="inlineStr">
        <is>
          <t>E0430</t>
        </is>
      </c>
      <c r="I805" t="inlineStr">
        <is>
          <t>E04302E</t>
        </is>
      </c>
      <c r="J805" t="inlineStr">
        <is>
          <t>TEST FIXTURE,TELESC</t>
        </is>
      </c>
      <c r="K805" t="inlineStr">
        <is>
          <t>IS</t>
        </is>
      </c>
      <c r="L805" t="inlineStr">
        <is>
          <t>EA</t>
        </is>
      </c>
      <c r="M805" t="inlineStr">
        <is>
          <t>N</t>
        </is>
      </c>
      <c r="N805" t="n">
        <v>0</v>
      </c>
      <c r="O805" t="n">
        <v>1</v>
      </c>
      <c r="P805" t="n">
        <v>1</v>
      </c>
    </row>
    <row r="806">
      <c r="B806" t="n">
        <v>802</v>
      </c>
      <c r="C806" t="inlineStr">
        <is>
          <t>14345</t>
        </is>
      </c>
      <c r="D806" t="inlineStr">
        <is>
          <t>14345</t>
        </is>
      </c>
      <c r="G806" t="inlineStr">
        <is>
          <t>M29114</t>
        </is>
      </c>
      <c r="H806" t="inlineStr">
        <is>
          <t>E0989</t>
        </is>
      </c>
      <c r="I806" t="inlineStr">
        <is>
          <t>E09897M</t>
        </is>
      </c>
      <c r="J806" t="inlineStr">
        <is>
          <t>MACHINE GUN,7.62 MI - M240B</t>
        </is>
      </c>
      <c r="K806" t="inlineStr">
        <is>
          <t>IS</t>
        </is>
      </c>
      <c r="L806" t="inlineStr">
        <is>
          <t>EA</t>
        </is>
      </c>
      <c r="M806" t="inlineStr">
        <is>
          <t>M</t>
        </is>
      </c>
      <c r="N806" t="n">
        <v>0</v>
      </c>
      <c r="O806" t="n">
        <v>2</v>
      </c>
      <c r="P806" t="n">
        <v>2</v>
      </c>
    </row>
    <row r="807">
      <c r="B807" t="n">
        <v>803</v>
      </c>
      <c r="C807" t="inlineStr">
        <is>
          <t>14345</t>
        </is>
      </c>
      <c r="D807" t="inlineStr">
        <is>
          <t>14345</t>
        </is>
      </c>
      <c r="G807" t="inlineStr">
        <is>
          <t>M29114</t>
        </is>
      </c>
      <c r="H807" t="inlineStr">
        <is>
          <t>E1120</t>
        </is>
      </c>
      <c r="I807" t="inlineStr">
        <is>
          <t>E11202B</t>
        </is>
      </c>
      <c r="J807" t="inlineStr">
        <is>
          <t>MOUNT,TRIPOD,MACHIN - M122A1</t>
        </is>
      </c>
      <c r="K807" t="inlineStr">
        <is>
          <t>IS</t>
        </is>
      </c>
      <c r="L807" t="inlineStr">
        <is>
          <t>EA</t>
        </is>
      </c>
      <c r="M807" t="inlineStr">
        <is>
          <t>N</t>
        </is>
      </c>
      <c r="N807" t="n">
        <v>0</v>
      </c>
      <c r="O807" t="n">
        <v>2</v>
      </c>
      <c r="P807" t="n">
        <v>2</v>
      </c>
    </row>
    <row r="808">
      <c r="B808" t="n">
        <v>804</v>
      </c>
      <c r="C808" t="inlineStr">
        <is>
          <t>14345</t>
        </is>
      </c>
      <c r="D808" t="inlineStr">
        <is>
          <t>14345</t>
        </is>
      </c>
      <c r="G808" t="inlineStr">
        <is>
          <t>M29114</t>
        </is>
      </c>
      <c r="H808" t="inlineStr">
        <is>
          <t>E1123</t>
        </is>
      </c>
      <c r="I808" t="inlineStr">
        <is>
          <t>E11232B</t>
        </is>
      </c>
      <c r="J808" t="inlineStr">
        <is>
          <t>MOUNT,GUN - MK93 MOD2</t>
        </is>
      </c>
      <c r="K808" t="inlineStr">
        <is>
          <t>IS</t>
        </is>
      </c>
      <c r="L808" t="inlineStr">
        <is>
          <t>EA</t>
        </is>
      </c>
      <c r="M808" t="inlineStr">
        <is>
          <t>N</t>
        </is>
      </c>
      <c r="N808" t="n">
        <v>0</v>
      </c>
      <c r="O808" t="n">
        <v>2</v>
      </c>
      <c r="P808" t="n">
        <v>2</v>
      </c>
    </row>
    <row r="809">
      <c r="B809" t="n">
        <v>805</v>
      </c>
      <c r="C809" t="inlineStr">
        <is>
          <t>14345</t>
        </is>
      </c>
      <c r="D809" t="inlineStr">
        <is>
          <t>14345</t>
        </is>
      </c>
      <c r="G809" t="inlineStr">
        <is>
          <t>M29114</t>
        </is>
      </c>
      <c r="H809" t="inlineStr">
        <is>
          <t>E1126</t>
        </is>
      </c>
      <c r="I809" t="inlineStr">
        <is>
          <t>E11262B</t>
        </is>
      </c>
      <c r="J809" t="inlineStr">
        <is>
          <t>MOUNT,TRIPOD,MACHIN - M3</t>
        </is>
      </c>
      <c r="K809" t="inlineStr">
        <is>
          <t>IS</t>
        </is>
      </c>
      <c r="L809" t="inlineStr">
        <is>
          <t>EA</t>
        </is>
      </c>
      <c r="M809" t="inlineStr">
        <is>
          <t>N</t>
        </is>
      </c>
      <c r="N809" t="n">
        <v>0</v>
      </c>
      <c r="O809" t="n">
        <v>2</v>
      </c>
      <c r="P809" t="n">
        <v>2</v>
      </c>
    </row>
    <row r="810">
      <c r="B810" t="n">
        <v>806</v>
      </c>
      <c r="C810" t="inlineStr">
        <is>
          <t>14345</t>
        </is>
      </c>
      <c r="D810" t="inlineStr">
        <is>
          <t>14345</t>
        </is>
      </c>
      <c r="G810" t="inlineStr">
        <is>
          <t>M29114</t>
        </is>
      </c>
      <c r="H810" t="inlineStr">
        <is>
          <t>E1154</t>
        </is>
      </c>
      <c r="I810" t="inlineStr">
        <is>
          <t>E11542B</t>
        </is>
      </c>
      <c r="J810" t="inlineStr">
        <is>
          <t>VIEWER,NIGHT VISION - AN/PVS14</t>
        </is>
      </c>
      <c r="K810" t="inlineStr">
        <is>
          <t>IS</t>
        </is>
      </c>
      <c r="L810" t="inlineStr">
        <is>
          <t>EA</t>
        </is>
      </c>
      <c r="M810" t="inlineStr">
        <is>
          <t>N</t>
        </is>
      </c>
      <c r="N810" t="n">
        <v>0</v>
      </c>
      <c r="O810" t="n">
        <v>104</v>
      </c>
      <c r="P810" t="n">
        <v>104</v>
      </c>
    </row>
    <row r="811">
      <c r="B811" t="n">
        <v>807</v>
      </c>
      <c r="C811" t="inlineStr">
        <is>
          <t>14345</t>
        </is>
      </c>
      <c r="D811" t="inlineStr">
        <is>
          <t>14345</t>
        </is>
      </c>
      <c r="G811" t="inlineStr">
        <is>
          <t>M29114</t>
        </is>
      </c>
      <c r="H811" t="inlineStr">
        <is>
          <t>E1160</t>
        </is>
      </c>
      <c r="I811" t="inlineStr">
        <is>
          <t>E11607G</t>
        </is>
      </c>
      <c r="J811" t="inlineStr">
        <is>
          <t>NIGHT VISION SIGHT - AN/PVS-17C</t>
        </is>
      </c>
      <c r="K811" t="inlineStr">
        <is>
          <t>IS</t>
        </is>
      </c>
      <c r="L811" t="inlineStr">
        <is>
          <t>EA</t>
        </is>
      </c>
      <c r="M811" t="inlineStr">
        <is>
          <t>N</t>
        </is>
      </c>
      <c r="N811" t="n">
        <v>2</v>
      </c>
      <c r="O811" t="n">
        <v>0</v>
      </c>
      <c r="P811" t="n">
        <v>2</v>
      </c>
    </row>
    <row r="812">
      <c r="B812" t="n">
        <v>808</v>
      </c>
      <c r="C812" t="inlineStr">
        <is>
          <t>14345</t>
        </is>
      </c>
      <c r="D812" t="inlineStr">
        <is>
          <t>14345</t>
        </is>
      </c>
      <c r="G812" t="inlineStr">
        <is>
          <t>M29114</t>
        </is>
      </c>
      <c r="H812" t="inlineStr">
        <is>
          <t>E1442</t>
        </is>
      </c>
      <c r="I812" t="inlineStr">
        <is>
          <t>E14422M</t>
        </is>
      </c>
      <c r="J812" t="inlineStr">
        <is>
          <t>RIFLE,5.56 MILLIMET - M16A4</t>
        </is>
      </c>
      <c r="K812" t="inlineStr">
        <is>
          <t>IS</t>
        </is>
      </c>
      <c r="L812" t="inlineStr">
        <is>
          <t>EA</t>
        </is>
      </c>
      <c r="M812" t="inlineStr">
        <is>
          <t>N</t>
        </is>
      </c>
      <c r="N812" t="n">
        <v>63</v>
      </c>
      <c r="O812" t="n">
        <v>0</v>
      </c>
      <c r="P812" t="n">
        <v>63</v>
      </c>
    </row>
    <row r="813">
      <c r="B813" t="n">
        <v>809</v>
      </c>
      <c r="C813" t="inlineStr">
        <is>
          <t>14345</t>
        </is>
      </c>
      <c r="D813" t="inlineStr">
        <is>
          <t>14345</t>
        </is>
      </c>
      <c r="G813" t="inlineStr">
        <is>
          <t>M29114</t>
        </is>
      </c>
      <c r="H813" t="inlineStr">
        <is>
          <t>E1710</t>
        </is>
      </c>
      <c r="I813" t="inlineStr">
        <is>
          <t>E17102B</t>
        </is>
      </c>
      <c r="J813" t="inlineStr">
        <is>
          <t>SIGHT,BORE,OPTICAL - TA31RCO-A4</t>
        </is>
      </c>
      <c r="K813" t="inlineStr">
        <is>
          <t>IS</t>
        </is>
      </c>
      <c r="L813" t="inlineStr">
        <is>
          <t>EA</t>
        </is>
      </c>
      <c r="M813" t="inlineStr">
        <is>
          <t>N</t>
        </is>
      </c>
      <c r="N813" t="n">
        <v>63</v>
      </c>
      <c r="O813" t="n">
        <v>0</v>
      </c>
      <c r="P813" t="n">
        <v>63</v>
      </c>
    </row>
    <row r="814">
      <c r="B814" t="n">
        <v>810</v>
      </c>
      <c r="C814" t="inlineStr">
        <is>
          <t>14345</t>
        </is>
      </c>
      <c r="D814" t="inlineStr">
        <is>
          <t>14345</t>
        </is>
      </c>
      <c r="G814" t="inlineStr">
        <is>
          <t>M29114</t>
        </is>
      </c>
      <c r="H814" t="inlineStr">
        <is>
          <t>E1798</t>
        </is>
      </c>
      <c r="I814" t="inlineStr">
        <is>
          <t>E17982G</t>
        </is>
      </c>
      <c r="J814" t="inlineStr">
        <is>
          <t>ILLUMINATOR,INFRARE - AN/PEQ-15</t>
        </is>
      </c>
      <c r="K814" t="inlineStr">
        <is>
          <t>IS</t>
        </is>
      </c>
      <c r="L814" t="inlineStr">
        <is>
          <t>EA</t>
        </is>
      </c>
      <c r="M814" t="inlineStr">
        <is>
          <t>N</t>
        </is>
      </c>
      <c r="N814" t="n">
        <v>106</v>
      </c>
      <c r="O814" t="n">
        <v>0</v>
      </c>
      <c r="P814" t="n">
        <v>106</v>
      </c>
    </row>
    <row r="815">
      <c r="B815" t="n">
        <v>811</v>
      </c>
      <c r="C815" t="inlineStr">
        <is>
          <t>14345</t>
        </is>
      </c>
      <c r="D815" t="inlineStr">
        <is>
          <t>14345</t>
        </is>
      </c>
      <c r="G815" t="inlineStr">
        <is>
          <t>M29114</t>
        </is>
      </c>
      <c r="H815" t="inlineStr">
        <is>
          <t>E1975</t>
        </is>
      </c>
      <c r="I815" t="inlineStr">
        <is>
          <t>E19757G</t>
        </is>
      </c>
      <c r="J815" t="inlineStr">
        <is>
          <t>SIGHT,THERMAL - AN/PAS13D(V2)</t>
        </is>
      </c>
      <c r="K815" t="inlineStr">
        <is>
          <t>IS</t>
        </is>
      </c>
      <c r="L815" t="inlineStr">
        <is>
          <t>EA</t>
        </is>
      </c>
      <c r="M815" t="inlineStr">
        <is>
          <t>R</t>
        </is>
      </c>
      <c r="N815" t="n">
        <v>2</v>
      </c>
      <c r="O815" t="n">
        <v>0</v>
      </c>
      <c r="P815" t="n">
        <v>2</v>
      </c>
    </row>
    <row r="816">
      <c r="B816" t="n">
        <v>812</v>
      </c>
      <c r="C816" t="inlineStr">
        <is>
          <t>14345</t>
        </is>
      </c>
      <c r="D816" t="inlineStr">
        <is>
          <t>14345</t>
        </is>
      </c>
      <c r="G816" t="inlineStr">
        <is>
          <t>M29114</t>
        </is>
      </c>
      <c r="H816" t="inlineStr">
        <is>
          <t>E1976</t>
        </is>
      </c>
      <c r="I816" t="inlineStr">
        <is>
          <t>E19767G</t>
        </is>
      </c>
      <c r="J816" t="inlineStr">
        <is>
          <t>SIGHT,THERMAL - AN/PAS13D(V3)</t>
        </is>
      </c>
      <c r="K816" t="inlineStr">
        <is>
          <t>IS</t>
        </is>
      </c>
      <c r="L816" t="inlineStr">
        <is>
          <t>EA</t>
        </is>
      </c>
      <c r="M816" t="inlineStr">
        <is>
          <t>R</t>
        </is>
      </c>
      <c r="N816" t="n">
        <v>0</v>
      </c>
      <c r="O816" t="n">
        <v>4</v>
      </c>
      <c r="P816" t="n">
        <v>4</v>
      </c>
    </row>
    <row r="817">
      <c r="B817" t="n">
        <v>813</v>
      </c>
      <c r="C817" t="inlineStr">
        <is>
          <t>14345</t>
        </is>
      </c>
      <c r="D817" t="inlineStr">
        <is>
          <t>14345</t>
        </is>
      </c>
      <c r="G817" t="inlineStr">
        <is>
          <t>M29114</t>
        </is>
      </c>
      <c r="H817" t="inlineStr">
        <is>
          <t>E7901</t>
        </is>
      </c>
      <c r="I817" t="inlineStr">
        <is>
          <t>E79012B</t>
        </is>
      </c>
      <c r="J817" t="inlineStr">
        <is>
          <t>TOOL KIT,ELECTRO-OP - TK-2171</t>
        </is>
      </c>
      <c r="K817" t="inlineStr">
        <is>
          <t>IS</t>
        </is>
      </c>
      <c r="L817" t="inlineStr">
        <is>
          <t>KT</t>
        </is>
      </c>
      <c r="M817" t="inlineStr">
        <is>
          <t>N</t>
        </is>
      </c>
      <c r="N817" t="n">
        <v>0</v>
      </c>
      <c r="O817" t="n">
        <v>1</v>
      </c>
      <c r="P817" t="n">
        <v>1</v>
      </c>
    </row>
    <row r="818">
      <c r="B818" t="n">
        <v>814</v>
      </c>
      <c r="C818" t="inlineStr">
        <is>
          <t>21710</t>
        </is>
      </c>
      <c r="D818" t="inlineStr">
        <is>
          <t>21710</t>
        </is>
      </c>
      <c r="G818" t="inlineStr">
        <is>
          <t>M29114</t>
        </is>
      </c>
      <c r="H818" t="inlineStr">
        <is>
          <t>B0008</t>
        </is>
      </c>
      <c r="I818" t="inlineStr">
        <is>
          <t>B00087BB</t>
        </is>
      </c>
      <c r="J818" t="inlineStr">
        <is>
          <t>AIR CONDITIONER - GL0583ZAADWYX11</t>
        </is>
      </c>
      <c r="K818" t="inlineStr">
        <is>
          <t>IS</t>
        </is>
      </c>
      <c r="L818" t="inlineStr">
        <is>
          <t>EA</t>
        </is>
      </c>
      <c r="M818" t="inlineStr"/>
      <c r="N818" t="n">
        <v>0</v>
      </c>
      <c r="O818" t="n">
        <v>1</v>
      </c>
      <c r="P818" t="n">
        <v>1</v>
      </c>
    </row>
    <row r="819">
      <c r="B819" t="n">
        <v>815</v>
      </c>
      <c r="C819" t="inlineStr">
        <is>
          <t>21710</t>
        </is>
      </c>
      <c r="D819" t="inlineStr">
        <is>
          <t>21710</t>
        </is>
      </c>
      <c r="G819" t="inlineStr">
        <is>
          <t>M29114</t>
        </is>
      </c>
      <c r="H819" t="inlineStr">
        <is>
          <t>B0065</t>
        </is>
      </c>
      <c r="I819" t="inlineStr">
        <is>
          <t>B00657BA</t>
        </is>
      </c>
      <c r="J819" t="inlineStr">
        <is>
          <t>REFRIGERATION SYSTE</t>
        </is>
      </c>
      <c r="K819" t="inlineStr">
        <is>
          <t>PL</t>
        </is>
      </c>
      <c r="L819" t="inlineStr">
        <is>
          <t>EA</t>
        </is>
      </c>
      <c r="M819" t="inlineStr"/>
      <c r="N819" t="n">
        <v>0</v>
      </c>
      <c r="O819" t="n">
        <v>0</v>
      </c>
      <c r="P819" t="n">
        <v>0</v>
      </c>
    </row>
    <row r="820">
      <c r="B820" t="n">
        <v>816</v>
      </c>
      <c r="C820" t="inlineStr">
        <is>
          <t>21710</t>
        </is>
      </c>
      <c r="D820" t="inlineStr">
        <is>
          <t>21710</t>
        </is>
      </c>
      <c r="G820" t="inlineStr">
        <is>
          <t>M29114</t>
        </is>
      </c>
      <c r="H820" t="inlineStr">
        <is>
          <t>B0075</t>
        </is>
      </c>
      <c r="I820" t="inlineStr">
        <is>
          <t>B00757BA</t>
        </is>
      </c>
      <c r="J820" t="inlineStr">
        <is>
          <t>SMALL FIELD REFRIGE - SB531.0</t>
        </is>
      </c>
      <c r="K820" t="inlineStr">
        <is>
          <t>IS</t>
        </is>
      </c>
      <c r="L820" t="inlineStr">
        <is>
          <t>EA</t>
        </is>
      </c>
      <c r="M820" t="inlineStr"/>
      <c r="N820" t="n">
        <v>0</v>
      </c>
      <c r="O820" t="n">
        <v>2</v>
      </c>
      <c r="P820" t="n">
        <v>2</v>
      </c>
    </row>
    <row r="821">
      <c r="B821" t="n">
        <v>817</v>
      </c>
      <c r="C821" t="inlineStr">
        <is>
          <t>21710</t>
        </is>
      </c>
      <c r="D821" t="inlineStr">
        <is>
          <t>21710</t>
        </is>
      </c>
      <c r="G821" t="inlineStr">
        <is>
          <t>M29114</t>
        </is>
      </c>
      <c r="H821" t="inlineStr">
        <is>
          <t>B0215</t>
        </is>
      </c>
      <c r="I821" t="inlineStr">
        <is>
          <t>B02157BA</t>
        </is>
      </c>
      <c r="J821" t="inlineStr">
        <is>
          <t>BUCKET,MULTI-PURPOS - 4 IN 1 2 1/2 YD</t>
        </is>
      </c>
      <c r="K821" t="inlineStr">
        <is>
          <t>IS</t>
        </is>
      </c>
      <c r="L821" t="inlineStr">
        <is>
          <t>EA</t>
        </is>
      </c>
      <c r="M821" t="inlineStr"/>
      <c r="N821" t="n">
        <v>0</v>
      </c>
      <c r="O821" t="n">
        <v>1</v>
      </c>
      <c r="P821" t="n">
        <v>1</v>
      </c>
    </row>
    <row r="822">
      <c r="B822" t="n">
        <v>818</v>
      </c>
      <c r="C822" t="inlineStr">
        <is>
          <t>21710</t>
        </is>
      </c>
      <c r="D822" t="inlineStr">
        <is>
          <t>21710</t>
        </is>
      </c>
      <c r="G822" t="inlineStr">
        <is>
          <t>M29114</t>
        </is>
      </c>
      <c r="H822" t="inlineStr">
        <is>
          <t>B0571</t>
        </is>
      </c>
      <c r="I822" t="inlineStr">
        <is>
          <t>B05717BA</t>
        </is>
      </c>
      <c r="J822" t="inlineStr">
        <is>
          <t>DRUM,FABRIC,COLLAPS</t>
        </is>
      </c>
      <c r="K822" t="inlineStr">
        <is>
          <t>IS</t>
        </is>
      </c>
      <c r="L822" t="inlineStr">
        <is>
          <t>EA</t>
        </is>
      </c>
      <c r="M822" t="inlineStr"/>
      <c r="N822" t="n">
        <v>0</v>
      </c>
      <c r="O822" t="n">
        <v>4</v>
      </c>
      <c r="P822" t="n">
        <v>4</v>
      </c>
    </row>
    <row r="823">
      <c r="B823" t="n">
        <v>819</v>
      </c>
      <c r="C823" t="inlineStr">
        <is>
          <t>21710</t>
        </is>
      </c>
      <c r="D823" t="inlineStr">
        <is>
          <t>21710</t>
        </is>
      </c>
      <c r="G823" t="inlineStr">
        <is>
          <t>M29114</t>
        </is>
      </c>
      <c r="H823" t="inlineStr">
        <is>
          <t>B0647</t>
        </is>
      </c>
      <c r="I823" t="inlineStr">
        <is>
          <t>B06477BA</t>
        </is>
      </c>
      <c r="J823" t="inlineStr">
        <is>
          <t>FORK,3-WAY,HYDRAULI - 91002060</t>
        </is>
      </c>
      <c r="K823" t="inlineStr">
        <is>
          <t>IS</t>
        </is>
      </c>
      <c r="L823" t="inlineStr">
        <is>
          <t>EA</t>
        </is>
      </c>
      <c r="M823" t="inlineStr"/>
      <c r="N823" t="n">
        <v>0</v>
      </c>
      <c r="O823" t="n">
        <v>1</v>
      </c>
      <c r="P823" t="n">
        <v>1</v>
      </c>
    </row>
    <row r="824">
      <c r="B824" t="n">
        <v>820</v>
      </c>
      <c r="C824" t="inlineStr">
        <is>
          <t>21710</t>
        </is>
      </c>
      <c r="D824" t="inlineStr">
        <is>
          <t>21710</t>
        </is>
      </c>
      <c r="G824" t="inlineStr">
        <is>
          <t>M29114</t>
        </is>
      </c>
      <c r="H824" t="inlineStr">
        <is>
          <t>B2130</t>
        </is>
      </c>
      <c r="I824" t="inlineStr">
        <is>
          <t>B21307BB</t>
        </is>
      </c>
      <c r="J824" t="inlineStr">
        <is>
          <t>TANK,WATER,3000 GAL - RCF-3K-W-OT</t>
        </is>
      </c>
      <c r="K824" t="inlineStr">
        <is>
          <t>IS</t>
        </is>
      </c>
      <c r="L824" t="inlineStr">
        <is>
          <t>EA</t>
        </is>
      </c>
      <c r="M824" t="inlineStr"/>
      <c r="N824" t="n">
        <v>0</v>
      </c>
      <c r="O824" t="n">
        <v>0</v>
      </c>
      <c r="P824" t="n">
        <v>0</v>
      </c>
    </row>
    <row r="825">
      <c r="B825" t="n">
        <v>821</v>
      </c>
      <c r="C825" t="inlineStr">
        <is>
          <t>21710</t>
        </is>
      </c>
      <c r="D825" t="inlineStr">
        <is>
          <t>21710</t>
        </is>
      </c>
      <c r="G825" t="inlineStr">
        <is>
          <t>M29114</t>
        </is>
      </c>
      <c r="H825" t="inlineStr">
        <is>
          <t>B2130</t>
        </is>
      </c>
      <c r="I825" t="inlineStr">
        <is>
          <t>B21307BB</t>
        </is>
      </c>
      <c r="J825" t="inlineStr">
        <is>
          <t>TANK,WATER,3000 GAL - RCF-3K-W-OT</t>
        </is>
      </c>
      <c r="K825" t="inlineStr">
        <is>
          <t>IS</t>
        </is>
      </c>
      <c r="L825" t="inlineStr">
        <is>
          <t>EA</t>
        </is>
      </c>
      <c r="M825" t="inlineStr"/>
      <c r="N825" t="n">
        <v>0</v>
      </c>
      <c r="O825" t="n">
        <v>2</v>
      </c>
      <c r="P825" t="n">
        <v>2</v>
      </c>
    </row>
    <row r="826">
      <c r="B826" t="n">
        <v>822</v>
      </c>
      <c r="C826" t="inlineStr">
        <is>
          <t>21710</t>
        </is>
      </c>
      <c r="D826" t="inlineStr">
        <is>
          <t>21710</t>
        </is>
      </c>
      <c r="G826" t="inlineStr">
        <is>
          <t>M29114</t>
        </is>
      </c>
      <c r="H826" t="inlineStr">
        <is>
          <t>B2130</t>
        </is>
      </c>
      <c r="I826" t="inlineStr">
        <is>
          <t>B21307BD</t>
        </is>
      </c>
      <c r="J826" t="inlineStr">
        <is>
          <t>TANK,FABRIC,COLLAPS - RCF-3K-W-OT</t>
        </is>
      </c>
      <c r="K826" t="inlineStr">
        <is>
          <t>IS</t>
        </is>
      </c>
      <c r="L826" t="inlineStr">
        <is>
          <t>EA</t>
        </is>
      </c>
      <c r="M826" t="inlineStr"/>
      <c r="N826" t="n">
        <v>0</v>
      </c>
      <c r="O826" t="n">
        <v>0</v>
      </c>
      <c r="P826" t="n">
        <v>0</v>
      </c>
    </row>
    <row r="827">
      <c r="B827" t="n">
        <v>823</v>
      </c>
      <c r="C827" t="inlineStr">
        <is>
          <t>44112</t>
        </is>
      </c>
      <c r="D827" t="inlineStr">
        <is>
          <t>44112</t>
        </is>
      </c>
      <c r="G827" t="inlineStr">
        <is>
          <t>M29114</t>
        </is>
      </c>
      <c r="H827" t="inlineStr">
        <is>
          <t>C4433</t>
        </is>
      </c>
      <c r="I827" t="inlineStr">
        <is>
          <t>C44332EA</t>
        </is>
      </c>
      <c r="J827" t="inlineStr">
        <is>
          <t>SHIPPING AND STORAG - SB812M</t>
        </is>
      </c>
      <c r="K827" t="inlineStr">
        <is>
          <t>IS</t>
        </is>
      </c>
      <c r="L827" t="inlineStr">
        <is>
          <t>EA</t>
        </is>
      </c>
      <c r="M827" t="inlineStr"/>
      <c r="N827" t="n">
        <v>0</v>
      </c>
      <c r="O827" t="n">
        <v>0</v>
      </c>
      <c r="P827" t="n">
        <v>0</v>
      </c>
    </row>
    <row r="828">
      <c r="B828" t="n">
        <v>824</v>
      </c>
      <c r="C828" t="inlineStr">
        <is>
          <t>44112</t>
        </is>
      </c>
      <c r="D828" t="inlineStr">
        <is>
          <t>44112</t>
        </is>
      </c>
      <c r="G828" t="inlineStr">
        <is>
          <t>M29114</t>
        </is>
      </c>
      <c r="H828" t="inlineStr">
        <is>
          <t>C4433</t>
        </is>
      </c>
      <c r="I828" t="inlineStr">
        <is>
          <t>C44332EA</t>
        </is>
      </c>
      <c r="J828" t="inlineStr">
        <is>
          <t>SHIPPING AND STORAG - SB812M</t>
        </is>
      </c>
      <c r="K828" t="inlineStr">
        <is>
          <t>IS</t>
        </is>
      </c>
      <c r="L828" t="inlineStr">
        <is>
          <t>EA</t>
        </is>
      </c>
      <c r="M828" t="inlineStr"/>
      <c r="N828" t="n">
        <v>0</v>
      </c>
      <c r="O828" t="n">
        <v>3</v>
      </c>
      <c r="P828" t="n">
        <v>3</v>
      </c>
    </row>
    <row r="829">
      <c r="B829" t="n">
        <v>825</v>
      </c>
      <c r="C829" t="inlineStr">
        <is>
          <t>44112</t>
        </is>
      </c>
      <c r="D829" t="inlineStr">
        <is>
          <t>44112</t>
        </is>
      </c>
      <c r="G829" t="inlineStr">
        <is>
          <t>M29114</t>
        </is>
      </c>
      <c r="H829" t="inlineStr">
        <is>
          <t>C4433</t>
        </is>
      </c>
      <c r="I829" t="inlineStr">
        <is>
          <t>C44332EB</t>
        </is>
      </c>
      <c r="J829" t="inlineStr">
        <is>
          <t>BOX,SHIPPING - CMCI115A</t>
        </is>
      </c>
      <c r="K829" t="inlineStr">
        <is>
          <t>IS</t>
        </is>
      </c>
      <c r="L829" t="inlineStr">
        <is>
          <t>EA</t>
        </is>
      </c>
      <c r="M829" t="inlineStr"/>
      <c r="N829" t="n">
        <v>0</v>
      </c>
      <c r="O829" t="n">
        <v>0</v>
      </c>
      <c r="P829" t="n">
        <v>0</v>
      </c>
    </row>
    <row r="830">
      <c r="B830" t="n">
        <v>826</v>
      </c>
      <c r="C830" t="inlineStr">
        <is>
          <t>44112</t>
        </is>
      </c>
      <c r="D830" t="inlineStr">
        <is>
          <t>44112</t>
        </is>
      </c>
      <c r="G830" t="inlineStr">
        <is>
          <t>M29114</t>
        </is>
      </c>
      <c r="H830" t="inlineStr">
        <is>
          <t>C4433</t>
        </is>
      </c>
      <c r="I830" t="inlineStr">
        <is>
          <t>C44332EC</t>
        </is>
      </c>
      <c r="J830" t="inlineStr">
        <is>
          <t>CONTAINER,FREIGHT,U - GREEN</t>
        </is>
      </c>
      <c r="K830" t="inlineStr">
        <is>
          <t>PL</t>
        </is>
      </c>
      <c r="L830" t="inlineStr">
        <is>
          <t>EA</t>
        </is>
      </c>
      <c r="M830" t="inlineStr"/>
      <c r="N830" t="n">
        <v>0</v>
      </c>
      <c r="O830" t="n">
        <v>2</v>
      </c>
      <c r="P830" t="n">
        <v>2</v>
      </c>
    </row>
    <row r="831">
      <c r="B831" t="n">
        <v>827</v>
      </c>
      <c r="C831" t="inlineStr">
        <is>
          <t>44112</t>
        </is>
      </c>
      <c r="D831" t="inlineStr">
        <is>
          <t>44112</t>
        </is>
      </c>
      <c r="G831" t="inlineStr">
        <is>
          <t>M29114</t>
        </is>
      </c>
      <c r="H831" t="inlineStr">
        <is>
          <t>C4546</t>
        </is>
      </c>
      <c r="I831" t="inlineStr">
        <is>
          <t>C45462EA</t>
        </is>
      </c>
      <c r="J831" t="inlineStr">
        <is>
          <t>DISPENSER,LIQUID,IN - 7505</t>
        </is>
      </c>
      <c r="K831" t="inlineStr">
        <is>
          <t>IS</t>
        </is>
      </c>
      <c r="L831" t="inlineStr">
        <is>
          <t>EA</t>
        </is>
      </c>
      <c r="M831" t="inlineStr"/>
      <c r="N831" t="n">
        <v>0</v>
      </c>
      <c r="O831" t="n">
        <v>12</v>
      </c>
      <c r="P831" t="n">
        <v>12</v>
      </c>
    </row>
    <row r="832">
      <c r="B832" t="n">
        <v>828</v>
      </c>
      <c r="C832" t="inlineStr">
        <is>
          <t>44112</t>
        </is>
      </c>
      <c r="D832" t="inlineStr">
        <is>
          <t>44112</t>
        </is>
      </c>
      <c r="G832" t="inlineStr">
        <is>
          <t>M29114</t>
        </is>
      </c>
      <c r="H832" t="inlineStr">
        <is>
          <t>C4880</t>
        </is>
      </c>
      <c r="I832" t="inlineStr">
        <is>
          <t>C48802EA</t>
        </is>
      </c>
      <c r="J832" t="inlineStr">
        <is>
          <t>FOOD TRANSPORTER,IN - A-A-52193</t>
        </is>
      </c>
      <c r="K832" t="inlineStr">
        <is>
          <t>IS</t>
        </is>
      </c>
      <c r="L832" t="inlineStr">
        <is>
          <t>EA</t>
        </is>
      </c>
      <c r="M832" t="inlineStr"/>
      <c r="N832" t="n">
        <v>0</v>
      </c>
      <c r="O832" t="n">
        <v>12</v>
      </c>
      <c r="P832" t="n">
        <v>12</v>
      </c>
    </row>
    <row r="833">
      <c r="B833" t="n">
        <v>829</v>
      </c>
      <c r="C833" t="inlineStr">
        <is>
          <t>44112</t>
        </is>
      </c>
      <c r="D833" t="inlineStr">
        <is>
          <t>44112</t>
        </is>
      </c>
      <c r="G833" t="inlineStr">
        <is>
          <t>M29114</t>
        </is>
      </c>
      <c r="H833" t="inlineStr">
        <is>
          <t>C7903</t>
        </is>
      </c>
      <c r="I833" t="inlineStr">
        <is>
          <t>C79032BA</t>
        </is>
      </c>
      <c r="J833" t="inlineStr">
        <is>
          <t>AIR BAG LIFT SYSTEM - KP-I44</t>
        </is>
      </c>
      <c r="K833" t="inlineStr">
        <is>
          <t>IS</t>
        </is>
      </c>
      <c r="L833" t="inlineStr">
        <is>
          <t>EA</t>
        </is>
      </c>
      <c r="M833" t="inlineStr"/>
      <c r="N833" t="n">
        <v>0</v>
      </c>
      <c r="O833" t="n">
        <v>2</v>
      </c>
      <c r="P833" t="n">
        <v>2</v>
      </c>
    </row>
    <row r="834">
      <c r="B834" t="n">
        <v>830</v>
      </c>
      <c r="C834" t="inlineStr">
        <is>
          <t>21451</t>
        </is>
      </c>
      <c r="D834" t="inlineStr">
        <is>
          <t>21451</t>
        </is>
      </c>
      <c r="G834" t="inlineStr">
        <is>
          <t>M29114</t>
        </is>
      </c>
      <c r="H834" t="inlineStr">
        <is>
          <t>D0001</t>
        </is>
      </c>
      <c r="I834" t="inlineStr">
        <is>
          <t>D00012BA</t>
        </is>
      </c>
      <c r="J834" t="inlineStr">
        <is>
          <t>ACCESSORY KIT,VEHIC - 57K8831</t>
        </is>
      </c>
      <c r="K834" t="inlineStr">
        <is>
          <t>IS</t>
        </is>
      </c>
      <c r="L834" t="inlineStr">
        <is>
          <t>EA</t>
        </is>
      </c>
      <c r="M834" t="inlineStr"/>
      <c r="N834" t="n">
        <v>0</v>
      </c>
      <c r="O834" t="n">
        <v>5</v>
      </c>
      <c r="P834" t="n">
        <v>5</v>
      </c>
    </row>
    <row r="835">
      <c r="B835" t="n">
        <v>831</v>
      </c>
      <c r="C835" t="inlineStr">
        <is>
          <t>21451</t>
        </is>
      </c>
      <c r="D835" t="inlineStr">
        <is>
          <t>21451</t>
        </is>
      </c>
      <c r="G835" t="inlineStr">
        <is>
          <t>M29114</t>
        </is>
      </c>
      <c r="H835" t="inlineStr">
        <is>
          <t>D0019</t>
        </is>
      </c>
      <c r="I835" t="inlineStr">
        <is>
          <t>D00192BA</t>
        </is>
      </c>
      <c r="J835" t="inlineStr">
        <is>
          <t>ACCESSORY KIT,VEHIC - 57K8832</t>
        </is>
      </c>
      <c r="K835" t="inlineStr">
        <is>
          <t>IS</t>
        </is>
      </c>
      <c r="L835" t="inlineStr">
        <is>
          <t>EA</t>
        </is>
      </c>
      <c r="M835" t="inlineStr"/>
      <c r="N835" t="n">
        <v>0</v>
      </c>
      <c r="O835" t="n">
        <v>3</v>
      </c>
      <c r="P835" t="n">
        <v>3</v>
      </c>
    </row>
    <row r="836">
      <c r="B836" t="n">
        <v>832</v>
      </c>
      <c r="C836" t="inlineStr">
        <is>
          <t>21451</t>
        </is>
      </c>
      <c r="D836" t="inlineStr">
        <is>
          <t>21451</t>
        </is>
      </c>
      <c r="G836" t="inlineStr">
        <is>
          <t>M29114</t>
        </is>
      </c>
      <c r="H836" t="inlineStr">
        <is>
          <t>D0019</t>
        </is>
      </c>
      <c r="I836" t="inlineStr">
        <is>
          <t>D00192BA</t>
        </is>
      </c>
      <c r="J836" t="inlineStr">
        <is>
          <t>ACCESSORY KIT,VEHIC - 57K8832</t>
        </is>
      </c>
      <c r="K836" t="inlineStr">
        <is>
          <t>IS</t>
        </is>
      </c>
      <c r="L836" t="inlineStr">
        <is>
          <t>EA</t>
        </is>
      </c>
      <c r="M836" t="inlineStr"/>
      <c r="N836" t="n">
        <v>0</v>
      </c>
      <c r="O836" t="n">
        <v>4</v>
      </c>
      <c r="P836" t="n">
        <v>4</v>
      </c>
    </row>
    <row r="837">
      <c r="B837" t="n">
        <v>833</v>
      </c>
      <c r="C837" t="inlineStr">
        <is>
          <t>21710</t>
        </is>
      </c>
      <c r="D837" t="inlineStr">
        <is>
          <t>21710</t>
        </is>
      </c>
      <c r="G837" t="inlineStr">
        <is>
          <t>M29114</t>
        </is>
      </c>
      <c r="H837" t="inlineStr">
        <is>
          <t>D0022</t>
        </is>
      </c>
      <c r="I837" t="inlineStr">
        <is>
          <t>D00227KA</t>
        </is>
      </c>
      <c r="J837" t="inlineStr">
        <is>
          <t>TRUCK,UTILITY - M1152</t>
        </is>
      </c>
      <c r="K837" t="inlineStr">
        <is>
          <t>IS</t>
        </is>
      </c>
      <c r="L837" t="inlineStr">
        <is>
          <t>EA</t>
        </is>
      </c>
      <c r="M837" t="inlineStr"/>
      <c r="N837" t="n">
        <v>0</v>
      </c>
      <c r="O837" t="n">
        <v>0</v>
      </c>
      <c r="P837" t="n">
        <v>0</v>
      </c>
    </row>
    <row r="838">
      <c r="B838" t="n">
        <v>834</v>
      </c>
      <c r="C838" t="inlineStr">
        <is>
          <t>21710</t>
        </is>
      </c>
      <c r="D838" t="inlineStr">
        <is>
          <t>21710</t>
        </is>
      </c>
      <c r="G838" t="inlineStr">
        <is>
          <t>M29114</t>
        </is>
      </c>
      <c r="H838" t="inlineStr">
        <is>
          <t>D0022</t>
        </is>
      </c>
      <c r="I838" t="inlineStr">
        <is>
          <t>D00227KH</t>
        </is>
      </c>
      <c r="J838" t="inlineStr">
        <is>
          <t>TRUCK,UTILITY - M1152A1</t>
        </is>
      </c>
      <c r="K838" t="inlineStr">
        <is>
          <t>IS</t>
        </is>
      </c>
      <c r="L838" t="inlineStr">
        <is>
          <t>EA</t>
        </is>
      </c>
      <c r="M838" t="inlineStr"/>
      <c r="N838" t="n">
        <v>0</v>
      </c>
      <c r="O838" t="n">
        <v>0</v>
      </c>
      <c r="P838" t="n">
        <v>0</v>
      </c>
    </row>
    <row r="839">
      <c r="B839" t="n">
        <v>835</v>
      </c>
      <c r="C839" t="inlineStr">
        <is>
          <t>21710</t>
        </is>
      </c>
      <c r="D839" t="inlineStr">
        <is>
          <t>21710</t>
        </is>
      </c>
      <c r="G839" t="inlineStr">
        <is>
          <t>M29114</t>
        </is>
      </c>
      <c r="H839" t="inlineStr">
        <is>
          <t>D0048</t>
        </is>
      </c>
      <c r="I839" t="inlineStr">
        <is>
          <t>D00487KA</t>
        </is>
      </c>
      <c r="J839" t="inlineStr">
        <is>
          <t>TRUCK,UTILITY - M1279A1</t>
        </is>
      </c>
      <c r="K839" t="inlineStr">
        <is>
          <t>IS</t>
        </is>
      </c>
      <c r="L839" t="inlineStr">
        <is>
          <t>EA</t>
        </is>
      </c>
      <c r="M839" t="inlineStr"/>
      <c r="N839" t="n">
        <v>0</v>
      </c>
      <c r="O839" t="n">
        <v>2</v>
      </c>
      <c r="P839" t="n">
        <v>2</v>
      </c>
    </row>
    <row r="840">
      <c r="B840" t="n">
        <v>836</v>
      </c>
      <c r="C840" t="inlineStr">
        <is>
          <t>21710</t>
        </is>
      </c>
      <c r="D840" t="inlineStr">
        <is>
          <t>21710</t>
        </is>
      </c>
      <c r="G840" t="inlineStr">
        <is>
          <t>M29114</t>
        </is>
      </c>
      <c r="H840" t="inlineStr">
        <is>
          <t>D0058</t>
        </is>
      </c>
      <c r="I840" t="inlineStr">
        <is>
          <t>D00587KA</t>
        </is>
      </c>
      <c r="J840" t="inlineStr">
        <is>
          <t>TRAILER,CARGO</t>
        </is>
      </c>
      <c r="K840" t="inlineStr">
        <is>
          <t>IS</t>
        </is>
      </c>
      <c r="L840" t="inlineStr">
        <is>
          <t>EA</t>
        </is>
      </c>
      <c r="M840" t="inlineStr"/>
      <c r="N840" t="n">
        <v>0</v>
      </c>
      <c r="O840" t="n">
        <v>1</v>
      </c>
      <c r="P840" t="n">
        <v>1</v>
      </c>
    </row>
    <row r="841">
      <c r="B841" t="n">
        <v>837</v>
      </c>
      <c r="C841" t="inlineStr">
        <is>
          <t>21710</t>
        </is>
      </c>
      <c r="D841" t="inlineStr">
        <is>
          <t>21710</t>
        </is>
      </c>
      <c r="G841" t="inlineStr">
        <is>
          <t>M29114</t>
        </is>
      </c>
      <c r="H841" t="inlineStr">
        <is>
          <t>D0187</t>
        </is>
      </c>
      <c r="I841" t="inlineStr">
        <is>
          <t>D01877K0</t>
        </is>
      </c>
      <c r="J841" t="inlineStr">
        <is>
          <t>TRUCK,UTILITY - M1097A2</t>
        </is>
      </c>
      <c r="K841" t="inlineStr">
        <is>
          <t>IS</t>
        </is>
      </c>
      <c r="L841" t="inlineStr">
        <is>
          <t>EA</t>
        </is>
      </c>
      <c r="M841" t="inlineStr"/>
      <c r="N841" t="n">
        <v>0</v>
      </c>
      <c r="O841" t="n">
        <v>0</v>
      </c>
      <c r="P841" t="n">
        <v>0</v>
      </c>
    </row>
    <row r="842">
      <c r="B842" t="n">
        <v>838</v>
      </c>
      <c r="C842" t="inlineStr">
        <is>
          <t>21451</t>
        </is>
      </c>
      <c r="D842" t="inlineStr">
        <is>
          <t>21451</t>
        </is>
      </c>
      <c r="G842" t="inlineStr">
        <is>
          <t>M29114</t>
        </is>
      </c>
      <c r="H842" t="inlineStr">
        <is>
          <t>D0751</t>
        </is>
      </c>
      <c r="I842" t="inlineStr">
        <is>
          <t>D07512EB</t>
        </is>
      </c>
      <c r="J842" t="inlineStr">
        <is>
          <t>TOOL KIT,VEHICLE,TA - 18004T0006</t>
        </is>
      </c>
      <c r="K842" t="inlineStr">
        <is>
          <t>IS</t>
        </is>
      </c>
      <c r="L842" t="inlineStr">
        <is>
          <t>KT</t>
        </is>
      </c>
      <c r="M842" t="inlineStr"/>
      <c r="N842" t="n">
        <v>0</v>
      </c>
      <c r="O842" t="n">
        <v>2</v>
      </c>
      <c r="P842" t="n">
        <v>2</v>
      </c>
    </row>
    <row r="843">
      <c r="B843" t="n">
        <v>839</v>
      </c>
      <c r="C843" t="inlineStr">
        <is>
          <t>14345</t>
        </is>
      </c>
      <c r="D843" t="inlineStr">
        <is>
          <t>14345</t>
        </is>
      </c>
      <c r="G843" t="inlineStr">
        <is>
          <t>M29114</t>
        </is>
      </c>
      <c r="H843" t="inlineStr">
        <is>
          <t>E0071</t>
        </is>
      </c>
      <c r="I843" t="inlineStr">
        <is>
          <t>E00712BA</t>
        </is>
      </c>
      <c r="J843" t="inlineStr">
        <is>
          <t>ARMOR SET,SUPPLEMEN - MCTAGS</t>
        </is>
      </c>
      <c r="K843" t="inlineStr">
        <is>
          <t>IS</t>
        </is>
      </c>
      <c r="L843" t="inlineStr">
        <is>
          <t>SE</t>
        </is>
      </c>
      <c r="M843" t="inlineStr"/>
      <c r="N843" t="n">
        <v>0</v>
      </c>
      <c r="O843" t="n">
        <v>0</v>
      </c>
      <c r="P843" t="n">
        <v>0</v>
      </c>
    </row>
    <row r="844">
      <c r="B844" t="n">
        <v>840</v>
      </c>
      <c r="C844" t="inlineStr">
        <is>
          <t>14345</t>
        </is>
      </c>
      <c r="D844" t="inlineStr">
        <is>
          <t>14345</t>
        </is>
      </c>
      <c r="G844" t="inlineStr">
        <is>
          <t>M29114</t>
        </is>
      </c>
      <c r="H844" t="inlineStr">
        <is>
          <t>E0071</t>
        </is>
      </c>
      <c r="I844" t="inlineStr">
        <is>
          <t>E00712BD</t>
        </is>
      </c>
      <c r="J844" t="inlineStr">
        <is>
          <t>PLATFORM,GUNNER,VEH - RH-GPK</t>
        </is>
      </c>
      <c r="K844" t="inlineStr">
        <is>
          <t>IS</t>
        </is>
      </c>
      <c r="L844" t="inlineStr">
        <is>
          <t>EA</t>
        </is>
      </c>
      <c r="M844" t="inlineStr"/>
      <c r="N844" t="n">
        <v>0</v>
      </c>
      <c r="O844" t="n">
        <v>3</v>
      </c>
      <c r="P844" t="n">
        <v>3</v>
      </c>
    </row>
    <row r="845">
      <c r="B845" t="n">
        <v>841</v>
      </c>
      <c r="C845" t="inlineStr">
        <is>
          <t>44112</t>
        </is>
      </c>
      <c r="D845" t="inlineStr">
        <is>
          <t>44112</t>
        </is>
      </c>
      <c r="G845" t="inlineStr">
        <is>
          <t>M29114</t>
        </is>
      </c>
      <c r="H845" t="inlineStr">
        <is>
          <t>H7007</t>
        </is>
      </c>
      <c r="I845" t="inlineStr">
        <is>
          <t>H70072GA</t>
        </is>
      </c>
      <c r="J845" t="inlineStr">
        <is>
          <t>MULTIMETER - FLUKE 323</t>
        </is>
      </c>
      <c r="K845" t="inlineStr">
        <is>
          <t>IS</t>
        </is>
      </c>
      <c r="L845" t="inlineStr">
        <is>
          <t>EA</t>
        </is>
      </c>
      <c r="M845" t="inlineStr"/>
      <c r="N845" t="n">
        <v>0</v>
      </c>
      <c r="O845" t="n">
        <v>1</v>
      </c>
      <c r="P845" t="n">
        <v>1</v>
      </c>
    </row>
    <row r="846">
      <c r="B846" t="n">
        <v>842</v>
      </c>
      <c r="C846" t="inlineStr">
        <is>
          <t>44112</t>
        </is>
      </c>
      <c r="D846" t="inlineStr">
        <is>
          <t>44112</t>
        </is>
      </c>
      <c r="G846" t="inlineStr">
        <is>
          <t>M29114</t>
        </is>
      </c>
      <c r="H846" t="inlineStr">
        <is>
          <t>H7017</t>
        </is>
      </c>
      <c r="I846" t="inlineStr">
        <is>
          <t>H70172EA</t>
        </is>
      </c>
      <c r="J846" t="inlineStr">
        <is>
          <t>MULTIMETER - FLUKE 189M/AN</t>
        </is>
      </c>
      <c r="K846" t="inlineStr">
        <is>
          <t>IS</t>
        </is>
      </c>
      <c r="L846" t="inlineStr">
        <is>
          <t>EA</t>
        </is>
      </c>
      <c r="M846" t="inlineStr"/>
      <c r="N846" t="n">
        <v>0</v>
      </c>
      <c r="O846" t="n">
        <v>0</v>
      </c>
      <c r="P846" t="n">
        <v>0</v>
      </c>
    </row>
    <row r="847">
      <c r="B847" t="n">
        <v>843</v>
      </c>
      <c r="C847" t="inlineStr">
        <is>
          <t>44112</t>
        </is>
      </c>
      <c r="D847" t="inlineStr">
        <is>
          <t>44112</t>
        </is>
      </c>
      <c r="G847" t="inlineStr">
        <is>
          <t>M29114</t>
        </is>
      </c>
      <c r="H847" t="inlineStr">
        <is>
          <t>H7017</t>
        </is>
      </c>
      <c r="I847" t="inlineStr">
        <is>
          <t>H70172EA</t>
        </is>
      </c>
      <c r="J847" t="inlineStr">
        <is>
          <t>MULTIMETER - FLUKE 189M/AN</t>
        </is>
      </c>
      <c r="K847" t="inlineStr">
        <is>
          <t>IS</t>
        </is>
      </c>
      <c r="L847" t="inlineStr">
        <is>
          <t>EA</t>
        </is>
      </c>
      <c r="M847" t="inlineStr"/>
      <c r="N847" t="n">
        <v>0</v>
      </c>
      <c r="O847" t="n">
        <v>1</v>
      </c>
      <c r="P847" t="n">
        <v>1</v>
      </c>
    </row>
    <row r="848">
      <c r="B848" t="n">
        <v>844</v>
      </c>
      <c r="C848" t="inlineStr">
        <is>
          <t>21451</t>
        </is>
      </c>
      <c r="D848" t="inlineStr">
        <is>
          <t>21451</t>
        </is>
      </c>
      <c r="G848" t="inlineStr">
        <is>
          <t>M29114</t>
        </is>
      </c>
      <c r="H848" t="inlineStr">
        <is>
          <t>H7030</t>
        </is>
      </c>
      <c r="I848" t="inlineStr">
        <is>
          <t>H70302BA</t>
        </is>
      </c>
      <c r="J848" t="inlineStr">
        <is>
          <t>MULTIMETER - 77/BN</t>
        </is>
      </c>
      <c r="K848" t="inlineStr">
        <is>
          <t>IS</t>
        </is>
      </c>
      <c r="L848" t="inlineStr">
        <is>
          <t>EA</t>
        </is>
      </c>
      <c r="M848" t="inlineStr"/>
      <c r="N848" t="n">
        <v>0</v>
      </c>
      <c r="O848" t="n">
        <v>2</v>
      </c>
      <c r="P848" t="n">
        <v>2</v>
      </c>
    </row>
    <row r="849">
      <c r="B849" t="n">
        <v>845</v>
      </c>
      <c r="C849" t="inlineStr">
        <is>
          <t>21451</t>
        </is>
      </c>
      <c r="D849" t="inlineStr">
        <is>
          <t>21451</t>
        </is>
      </c>
      <c r="G849" t="inlineStr">
        <is>
          <t>M29114</t>
        </is>
      </c>
      <c r="H849" t="inlineStr">
        <is>
          <t>H7270</t>
        </is>
      </c>
      <c r="I849" t="inlineStr">
        <is>
          <t>H72702BA</t>
        </is>
      </c>
      <c r="J849" t="inlineStr">
        <is>
          <t>INDICATOR,PHASE SEQ - T-471</t>
        </is>
      </c>
      <c r="K849" t="inlineStr">
        <is>
          <t>IS</t>
        </is>
      </c>
      <c r="L849" t="inlineStr">
        <is>
          <t>EA</t>
        </is>
      </c>
      <c r="M849" t="inlineStr"/>
      <c r="N849" t="n">
        <v>0</v>
      </c>
      <c r="O849" t="n">
        <v>1</v>
      </c>
      <c r="P849" t="n">
        <v>1</v>
      </c>
    </row>
    <row r="850">
      <c r="B850" t="n">
        <v>846</v>
      </c>
      <c r="C850" t="inlineStr">
        <is>
          <t>21451</t>
        </is>
      </c>
      <c r="D850" t="inlineStr">
        <is>
          <t>21451</t>
        </is>
      </c>
      <c r="G850" t="inlineStr">
        <is>
          <t>M29114</t>
        </is>
      </c>
      <c r="H850" t="inlineStr">
        <is>
          <t>H7299</t>
        </is>
      </c>
      <c r="I850" t="inlineStr">
        <is>
          <t>H72992BA</t>
        </is>
      </c>
      <c r="J850" t="inlineStr">
        <is>
          <t>WORK STATION KIT,EL - MPW 39221015</t>
        </is>
      </c>
      <c r="K850" t="inlineStr">
        <is>
          <t>IS</t>
        </is>
      </c>
      <c r="L850" t="inlineStr">
        <is>
          <t>EA</t>
        </is>
      </c>
      <c r="M850" t="inlineStr"/>
      <c r="N850" t="n">
        <v>0</v>
      </c>
      <c r="O850" t="n">
        <v>1</v>
      </c>
      <c r="P850" t="n">
        <v>1</v>
      </c>
    </row>
    <row r="851">
      <c r="B851" t="n">
        <v>847</v>
      </c>
      <c r="C851" t="inlineStr">
        <is>
          <t>44112</t>
        </is>
      </c>
      <c r="D851" t="inlineStr">
        <is>
          <t>44112</t>
        </is>
      </c>
      <c r="G851" t="inlineStr">
        <is>
          <t>M29114</t>
        </is>
      </c>
      <c r="H851" t="inlineStr">
        <is>
          <t>J0006</t>
        </is>
      </c>
      <c r="I851" t="inlineStr">
        <is>
          <t>J00062BA</t>
        </is>
      </c>
      <c r="J851" t="inlineStr">
        <is>
          <t>SOLAR CELL PANEL</t>
        </is>
      </c>
      <c r="K851" t="inlineStr">
        <is>
          <t>IS</t>
        </is>
      </c>
      <c r="L851" t="inlineStr">
        <is>
          <t>EA</t>
        </is>
      </c>
      <c r="M851" t="inlineStr"/>
      <c r="N851" t="n">
        <v>0</v>
      </c>
      <c r="O851" t="n">
        <v>0</v>
      </c>
      <c r="P851" t="n">
        <v>0</v>
      </c>
    </row>
    <row r="852">
      <c r="B852" t="n">
        <v>848</v>
      </c>
      <c r="C852" t="inlineStr">
        <is>
          <t>44112</t>
        </is>
      </c>
      <c r="D852" t="inlineStr">
        <is>
          <t>44112</t>
        </is>
      </c>
      <c r="G852" t="inlineStr">
        <is>
          <t>M29114</t>
        </is>
      </c>
      <c r="H852" t="inlineStr">
        <is>
          <t>J3187</t>
        </is>
      </c>
      <c r="I852" t="inlineStr">
        <is>
          <t>J31872BA</t>
        </is>
      </c>
      <c r="J852" t="inlineStr">
        <is>
          <t>REPAIR KIT,PUNCTURE</t>
        </is>
      </c>
      <c r="K852" t="inlineStr">
        <is>
          <t>IS</t>
        </is>
      </c>
      <c r="L852" t="inlineStr">
        <is>
          <t>EA</t>
        </is>
      </c>
      <c r="M852" t="inlineStr"/>
      <c r="N852" t="n">
        <v>0</v>
      </c>
      <c r="O852" t="n">
        <v>2</v>
      </c>
      <c r="P852" t="n">
        <v>2</v>
      </c>
    </row>
    <row r="853">
      <c r="B853" t="n">
        <v>849</v>
      </c>
      <c r="C853" t="inlineStr">
        <is>
          <t>44112</t>
        </is>
      </c>
      <c r="D853" t="inlineStr">
        <is>
          <t>44112</t>
        </is>
      </c>
      <c r="G853" t="inlineStr">
        <is>
          <t>M29114</t>
        </is>
      </c>
      <c r="H853" t="inlineStr">
        <is>
          <t>K4128</t>
        </is>
      </c>
      <c r="I853" t="inlineStr">
        <is>
          <t>K41282EA</t>
        </is>
      </c>
      <c r="J853" t="inlineStr">
        <is>
          <t>CAN,MILITARY</t>
        </is>
      </c>
      <c r="K853" t="inlineStr">
        <is>
          <t>IS</t>
        </is>
      </c>
      <c r="L853" t="inlineStr">
        <is>
          <t>EA</t>
        </is>
      </c>
      <c r="M853" t="inlineStr"/>
      <c r="N853" t="n">
        <v>0</v>
      </c>
      <c r="O853" t="n">
        <v>0</v>
      </c>
      <c r="P853" t="n">
        <v>0</v>
      </c>
    </row>
    <row r="854">
      <c r="B854" t="n">
        <v>850</v>
      </c>
      <c r="C854" t="inlineStr">
        <is>
          <t>44112</t>
        </is>
      </c>
      <c r="D854" t="inlineStr">
        <is>
          <t>44112</t>
        </is>
      </c>
      <c r="G854" t="inlineStr">
        <is>
          <t>M29114</t>
        </is>
      </c>
      <c r="H854" t="inlineStr">
        <is>
          <t>K4128</t>
        </is>
      </c>
      <c r="I854" t="inlineStr">
        <is>
          <t>K41282EA</t>
        </is>
      </c>
      <c r="J854" t="inlineStr">
        <is>
          <t>CAN,MILITARY</t>
        </is>
      </c>
      <c r="K854" t="inlineStr">
        <is>
          <t>IS</t>
        </is>
      </c>
      <c r="L854" t="inlineStr">
        <is>
          <t>EA</t>
        </is>
      </c>
      <c r="M854" t="inlineStr"/>
      <c r="N854" t="n">
        <v>0</v>
      </c>
      <c r="O854" t="n">
        <v>2</v>
      </c>
      <c r="P854" t="n">
        <v>2</v>
      </c>
    </row>
    <row r="855">
      <c r="B855" t="n">
        <v>851</v>
      </c>
      <c r="C855" t="inlineStr">
        <is>
          <t>44112</t>
        </is>
      </c>
      <c r="D855" t="inlineStr">
        <is>
          <t>44112</t>
        </is>
      </c>
      <c r="G855" t="inlineStr">
        <is>
          <t>M29114</t>
        </is>
      </c>
      <c r="H855" t="inlineStr">
        <is>
          <t>K4250</t>
        </is>
      </c>
      <c r="I855" t="inlineStr">
        <is>
          <t>K42502EA</t>
        </is>
      </c>
      <c r="J855" t="inlineStr">
        <is>
          <t>CAN,MILITARY - N/A</t>
        </is>
      </c>
      <c r="K855" t="inlineStr">
        <is>
          <t>DP</t>
        </is>
      </c>
      <c r="L855" t="inlineStr">
        <is>
          <t>EA</t>
        </is>
      </c>
      <c r="M855" t="inlineStr"/>
      <c r="N855" t="n">
        <v>0</v>
      </c>
      <c r="O855" t="n">
        <v>2</v>
      </c>
      <c r="P855" t="n">
        <v>2</v>
      </c>
    </row>
    <row r="856">
      <c r="B856" t="n">
        <v>852</v>
      </c>
      <c r="C856" t="inlineStr">
        <is>
          <t>44112</t>
        </is>
      </c>
      <c r="D856" t="inlineStr">
        <is>
          <t>44112</t>
        </is>
      </c>
      <c r="G856" t="inlineStr">
        <is>
          <t>M29114</t>
        </is>
      </c>
      <c r="H856" t="inlineStr">
        <is>
          <t>K5060</t>
        </is>
      </c>
      <c r="I856" t="inlineStr">
        <is>
          <t>K50602TA</t>
        </is>
      </c>
      <c r="J856" t="inlineStr">
        <is>
          <t>WRENCH,IMPACT,PNEUM</t>
        </is>
      </c>
      <c r="K856" t="inlineStr">
        <is>
          <t>IS</t>
        </is>
      </c>
      <c r="L856" t="inlineStr">
        <is>
          <t>EA</t>
        </is>
      </c>
      <c r="M856" t="inlineStr"/>
      <c r="N856" t="n">
        <v>0</v>
      </c>
      <c r="O856" t="n">
        <v>1</v>
      </c>
      <c r="P856" t="n">
        <v>1</v>
      </c>
    </row>
    <row r="857">
      <c r="B857" t="n">
        <v>853</v>
      </c>
      <c r="C857" t="inlineStr">
        <is>
          <t>44112</t>
        </is>
      </c>
      <c r="D857" t="inlineStr">
        <is>
          <t>44112</t>
        </is>
      </c>
      <c r="G857" t="inlineStr">
        <is>
          <t>M29114</t>
        </is>
      </c>
      <c r="H857" t="inlineStr">
        <is>
          <t>K7900</t>
        </is>
      </c>
      <c r="I857" t="inlineStr">
        <is>
          <t>K79002BA</t>
        </is>
      </c>
      <c r="J857" t="inlineStr">
        <is>
          <t>TOOL KIT,VEHICLE,TA - GOV07176</t>
        </is>
      </c>
      <c r="K857" t="inlineStr">
        <is>
          <t>IS</t>
        </is>
      </c>
      <c r="L857" t="inlineStr">
        <is>
          <t>EA</t>
        </is>
      </c>
      <c r="M857" t="inlineStr"/>
      <c r="N857" t="n">
        <v>0</v>
      </c>
      <c r="O857" t="n">
        <v>1</v>
      </c>
      <c r="P857" t="n">
        <v>1</v>
      </c>
    </row>
    <row r="858">
      <c r="B858" t="n">
        <v>854</v>
      </c>
      <c r="C858" t="inlineStr">
        <is>
          <t>21451</t>
        </is>
      </c>
      <c r="D858" t="inlineStr">
        <is>
          <t>21451</t>
        </is>
      </c>
      <c r="G858" t="inlineStr">
        <is>
          <t>M29114</t>
        </is>
      </c>
      <c r="H858" t="inlineStr">
        <is>
          <t>M5030</t>
        </is>
      </c>
      <c r="I858" t="inlineStr">
        <is>
          <t>M50302EA</t>
        </is>
      </c>
      <c r="J858" t="inlineStr">
        <is>
          <t>TOWBAR,MOTOR VEHICL - 3428515</t>
        </is>
      </c>
      <c r="K858" t="inlineStr">
        <is>
          <t>IS</t>
        </is>
      </c>
      <c r="L858" t="inlineStr">
        <is>
          <t>EA</t>
        </is>
      </c>
      <c r="M858" t="inlineStr"/>
      <c r="N858" t="n">
        <v>0</v>
      </c>
      <c r="O858" t="n">
        <v>1</v>
      </c>
      <c r="P858" t="n">
        <v>1</v>
      </c>
    </row>
  </sheetData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143 45</t>
        </is>
      </c>
      <c r="M5" s="2" t="inlineStr">
        <is>
          <t>Nomenclature:</t>
        </is>
      </c>
      <c r="R5" s="3" t="inlineStr">
        <is>
          <t>ARMORY</t>
        </is>
      </c>
    </row>
    <row r="6" ht="28.5" customHeight="1">
      <c r="A6" s="10" t="inlineStr">
        <is>
          <t>SPACE REQUIREMENT ANALYSIS  ,  CCN 143 45  ,  FC 2-000-05N (Series 100, 11 Feb 2026)</t>
        </is>
      </c>
    </row>
    <row r="7" ht="14.5" customHeight="1">
      <c r="A7" s="11" t="inlineStr">
        <is>
          <t>Sensitive Item Category (Primary Items, all four companies)</t>
        </is>
      </c>
      <c r="V7" s="4" t="inlineStr">
        <is>
          <t>GSF / Item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Night Vision Devices (AN/PVS-14, AN/PVS-31D)</t>
        </is>
      </c>
      <c r="V8" s="13" t="n">
        <v>1.25</v>
      </c>
      <c r="Y8" s="13" t="n">
        <v>237</v>
      </c>
      <c r="AB8" s="14">
        <f>V8*Y8</f>
        <v/>
      </c>
    </row>
    <row r="9" ht="12.75" customHeight="1">
      <c r="A9" s="12" t="inlineStr">
        <is>
          <t>Machine Guns (M240B, MK19 MOD 3)</t>
        </is>
      </c>
      <c r="V9" s="13" t="n">
        <v>1.25</v>
      </c>
      <c r="Y9" s="13" t="n">
        <v>14</v>
      </c>
      <c r="AB9" s="14">
        <f>V9*Y9</f>
        <v/>
      </c>
    </row>
    <row r="10" ht="12.75" customHeight="1">
      <c r="A10" s="12" t="inlineStr">
        <is>
          <t>Rifles, Carbines, and Shotguns</t>
        </is>
      </c>
      <c r="V10" s="13" t="n">
        <v>1.25</v>
      </c>
      <c r="Y10" s="13" t="n">
        <v>19</v>
      </c>
      <c r="AB10" s="14">
        <f>V10*Y10</f>
        <v/>
      </c>
    </row>
    <row r="11" ht="12.75" customHeight="1">
      <c r="A11" s="12" t="inlineStr">
        <is>
          <t>Grenade Launchers (M320A1)</t>
        </is>
      </c>
      <c r="V11" s="13" t="n">
        <v>1.25</v>
      </c>
      <c r="Y11" s="13" t="n">
        <v>4</v>
      </c>
      <c r="AB11" s="14">
        <f>V11*Y11</f>
        <v/>
      </c>
    </row>
    <row r="12" ht="12.75" customHeight="1">
      <c r="A12" s="12" t="inlineStr">
        <is>
          <t>Thermal Sights (AN/PAS-13D)</t>
        </is>
      </c>
      <c r="V12" s="13" t="n">
        <v>1.25</v>
      </c>
      <c r="Y12" s="13" t="n">
        <v>4</v>
      </c>
      <c r="AB12" s="14">
        <f>V12*Y12</f>
        <v/>
      </c>
    </row>
    <row r="13" ht="12.75" customHeight="1">
      <c r="A13" s="12" t="inlineStr">
        <is>
          <t>Other Sensitive Items (Optics, Accessories, Spares)</t>
        </is>
      </c>
      <c r="V13" s="13" t="n">
        <v>1.25</v>
      </c>
      <c r="Y13" s="13" t="n">
        <v>52</v>
      </c>
      <c r="AB13" s="14">
        <f>V13*Y13</f>
        <v/>
      </c>
    </row>
    <row r="14" ht="15.75" customHeight="1"/>
    <row r="15" ht="15.75" customHeight="1">
      <c r="A15" s="15" t="inlineStr">
        <is>
          <t>Total Sensitive Items, Total NSF</t>
        </is>
      </c>
      <c r="AB15" s="14">
        <f>SUM(AB8:AB13)</f>
        <v/>
      </c>
    </row>
    <row r="16" ht="15.75" customHeight="1">
      <c r="A16" s="15" t="inlineStr">
        <is>
          <t>Required GSF = ROUNDUP(Total NSF, 0)</t>
        </is>
      </c>
      <c r="AB16" s="14">
        <f>ROUNDUP(AB15,0)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100 Series; version date 2026-02-11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fc_2_000_05n_100series_02_11_2026.pdf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[205]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 xml:space="preserve">  Table 14345-1 (Armory); loading driver: Installation Military Strength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  up to 2,000 | 576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 xml:space="preserve">    2,001 - 4,000 | 880</t>
        </is>
      </c>
      <c r="C46" s="21" t="n"/>
      <c r="D46" s="21" t="n"/>
      <c r="E46" s="21" t="n"/>
      <c r="F46" s="21" t="n"/>
      <c r="G46" s="21" t="n"/>
      <c r="H46" s="22" t="n"/>
    </row>
    <row r="47" ht="18" customHeight="1">
      <c r="B47" s="23" t="inlineStr">
        <is>
          <t xml:space="preserve">    4,001 - 7,500 | 1,200</t>
        </is>
      </c>
      <c r="C47" s="21" t="n"/>
      <c r="D47" s="21" t="n"/>
      <c r="E47" s="21" t="n"/>
      <c r="F47" s="21" t="n"/>
      <c r="G47" s="21" t="n"/>
      <c r="H47" s="22" t="n"/>
    </row>
    <row r="48" ht="18" customHeight="1">
      <c r="B48" s="23" t="inlineStr">
        <is>
          <t xml:space="preserve">    7,501 - 10,000 | 1,508</t>
        </is>
      </c>
      <c r="C48" s="21" t="n"/>
      <c r="D48" s="21" t="n"/>
      <c r="E48" s="21" t="n"/>
      <c r="F48" s="21" t="n"/>
      <c r="G48" s="21" t="n"/>
      <c r="H48" s="22" t="n"/>
    </row>
    <row r="49" ht="18" customHeight="1">
      <c r="B49" s="23" t="inlineStr">
        <is>
          <t xml:space="preserve">    Over 10,000 | Add 0.1 sq ft per person</t>
        </is>
      </c>
      <c r="C49" s="21" t="n"/>
      <c r="D49" s="21" t="n"/>
      <c r="E49" s="21" t="n"/>
      <c r="F49" s="21" t="n"/>
      <c r="G49" s="21" t="n"/>
      <c r="H49" s="22" t="n"/>
    </row>
  </sheetData>
  <mergeCells count="62">
    <mergeCell ref="V10:X10"/>
    <mergeCell ref="Y11:AA11"/>
    <mergeCell ref="Y4:AF4"/>
    <mergeCell ref="B40:H40"/>
    <mergeCell ref="Y10:AA10"/>
    <mergeCell ref="A7:U7"/>
    <mergeCell ref="AB15:AF15"/>
    <mergeCell ref="V9:X9"/>
    <mergeCell ref="B49:H4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B47:H47"/>
    <mergeCell ref="Y12:AA12"/>
    <mergeCell ref="AB9:AF9"/>
    <mergeCell ref="V7:X7"/>
    <mergeCell ref="A8:U8"/>
    <mergeCell ref="A3:E3"/>
    <mergeCell ref="B46:H46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B48:H48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214 51</t>
        </is>
      </c>
      <c r="M5" s="2" t="inlineStr">
        <is>
          <t>Nomenclature:</t>
        </is>
      </c>
      <c r="R5" s="3" t="inlineStr">
        <is>
          <t>AUTO ORGANIZATIONAL SHOP</t>
        </is>
      </c>
    </row>
    <row r="6" ht="28.5" customHeight="1">
      <c r="A6" s="10" t="inlineStr">
        <is>
          <t>SPACE REQUIREMENT ANALYSIS  ,  CCN 214 51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4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Officers, Private Offices (Platoon Commanders)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SNCOs and Staff, Cubicles</t>
        </is>
      </c>
      <c r="V10" s="13" t="n">
        <v>60</v>
      </c>
      <c r="Y10" s="13" t="n">
        <v>11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4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Light Utility Vehicles (JLTV-class M1280, M1279)</t>
        </is>
      </c>
      <c r="V15" s="25" t="n">
        <v>420</v>
      </c>
      <c r="Y15" s="13" t="n">
        <v>33</v>
      </c>
      <c r="AB15" s="25" t="inlineStr"/>
    </row>
    <row r="16" ht="15.75" customHeight="1">
      <c r="A16" s="12" t="inlineStr">
        <is>
          <t>Medium / Heavy Cargo (AMK23A1, AMK27A1)</t>
        </is>
      </c>
      <c r="V16" s="25" t="n">
        <v>420</v>
      </c>
      <c r="Y16" s="13" t="n">
        <v>23</v>
      </c>
      <c r="AB16" s="25" t="inlineStr"/>
    </row>
    <row r="17" ht="15.75" customHeight="1">
      <c r="A17" s="12" t="inlineStr">
        <is>
          <t>Wrecker / Recovery (AMK36)</t>
        </is>
      </c>
      <c r="V17" s="25" t="n">
        <v>420</v>
      </c>
      <c r="Y17" s="13" t="n">
        <v>3</v>
      </c>
      <c r="AB17" s="25" t="inlineStr"/>
    </row>
    <row r="18" ht="15.75" customHeight="1">
      <c r="A18" s="12" t="inlineStr">
        <is>
          <t>Total Self-Propelled Vehicles | CEILING(total / 30) bays</t>
        </is>
      </c>
      <c r="V18" s="25" t="inlineStr"/>
      <c r="Y18" s="14">
        <f>SUM(Y15:Y17)</f>
        <v/>
      </c>
      <c r="AB18" s="25" t="inlineStr"/>
    </row>
    <row r="19" ht="15.75" customHeight="1">
      <c r="A19" s="12" t="inlineStr">
        <is>
          <t>Maintenance Bays (CEILING bays per 30 vehicles)</t>
        </is>
      </c>
      <c r="V19" s="25" t="n">
        <v>420</v>
      </c>
      <c r="Y19" s="14">
        <f>CEILING(Y18/30,1)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5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200 Series; version date 2025-05-16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fc_2_000_05n_200series_05_16_2025.pdf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[188]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3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21451-1: This facility provides work areas for Fleet Marine Force (FMF) units to</t>
        </is>
      </c>
      <c r="C45" s="21" t="n"/>
      <c r="D45" s="21" t="n"/>
      <c r="E45" s="21" t="n"/>
      <c r="F45" s="21" t="n"/>
      <c r="G45" s="21" t="n"/>
      <c r="H45" s="22" t="n"/>
    </row>
  </sheetData>
  <mergeCells count="75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B40:H40"/>
    <mergeCell ref="AB14:AF14"/>
    <mergeCell ref="Y17:AA17"/>
    <mergeCell ref="M5:Q5"/>
    <mergeCell ref="V15:X15"/>
    <mergeCell ref="A18:U18"/>
    <mergeCell ref="B45:H45"/>
    <mergeCell ref="Y16:AA16"/>
    <mergeCell ref="AE3:AF3"/>
    <mergeCell ref="B41:H41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B43:H43"/>
    <mergeCell ref="B42:H42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B44:H44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214 55</t>
        </is>
      </c>
      <c r="M5" s="2" t="inlineStr">
        <is>
          <t>Nomenclature:</t>
        </is>
      </c>
      <c r="R5" s="3" t="inlineStr">
        <is>
          <t>VEHICLE WASH PLATFORM</t>
        </is>
      </c>
    </row>
    <row r="6" ht="28.5" customHeight="1">
      <c r="A6" s="10" t="inlineStr">
        <is>
          <t>SPACE REQUIREMENT ANALYSIS  ,  CCN 214 55  ,  FC 2-000-05N (Series 100, 11 Feb 2026)</t>
        </is>
      </c>
    </row>
    <row r="7" ht="14.5" customHeight="1">
      <c r="A7" s="11" t="inlineStr">
        <is>
          <t>VEHICLE WASH PLATFORM (Loading driver: Vehicle wash spaces)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200 Series; version date 2025-05-16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fc_2_000_05n_200series_05_16_2025.pdf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[188]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21455-1: REQUIREMENTS. Vehicle wash platforms equipped with hose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610 72</t>
        </is>
      </c>
      <c r="M5" s="2" t="inlineStr">
        <is>
          <t>Nomenclature:</t>
        </is>
      </c>
      <c r="R5" s="3" t="inlineStr">
        <is>
          <t>BATTLN SQUADRN HQ (MARCOR)</t>
        </is>
      </c>
    </row>
    <row r="6" ht="28.5" customHeight="1">
      <c r="A6" s="10" t="inlineStr">
        <is>
          <t>SPACE REQUIREMENT ANALYSIS  ,  CCN 610 72  ,  FC 2-000-05N (Series 100, 11 Feb 2026)</t>
        </is>
      </c>
    </row>
    <row r="7" ht="14.5" customHeight="1">
      <c r="A7" s="10" t="inlineStr">
        <is>
          <t>BILLETS EXCLUDED FROM THIS CCN (require separate facility CCNs)</t>
        </is>
      </c>
    </row>
    <row r="8" ht="12.75" customHeight="1">
      <c r="A8" s="12" t="inlineStr">
        <is>
          <t>Medical / BAS billets (34), medical facility CCN required</t>
        </is>
      </c>
    </row>
    <row r="9" ht="12.75" customHeight="1">
      <c r="A9" s="12" t="inlineStr">
        <is>
          <t>EOD Section billets (13), EOD facility CCN required</t>
        </is>
      </c>
    </row>
    <row r="10" ht="12.75" customHeight="1">
      <c r="A10" s="12" t="inlineStr">
        <is>
          <t>Specialist shop billets (99), maintenance shop CCN(s) required</t>
        </is>
      </c>
    </row>
    <row r="11" ht="12.75" customHeight="1">
      <c r="A11" s="12" t="inlineStr">
        <is>
          <t>Ordnance repair billets (10), ordnance shop CCN required</t>
        </is>
      </c>
    </row>
    <row r="12" ht="12.75" customHeight="1"/>
    <row r="13" ht="12.75" customHeight="1">
      <c r="A13" s="10" t="inlineStr">
        <is>
          <t>ADMINISTRATIVE SPACE CALCULATION</t>
        </is>
      </c>
    </row>
    <row r="14" ht="15.75" customHeight="1">
      <c r="A14" s="11" t="inlineStr">
        <is>
          <t>Space Type</t>
        </is>
      </c>
      <c r="V14" s="4" t="inlineStr">
        <is>
          <t>SF / Person</t>
        </is>
      </c>
      <c r="Y14" s="4" t="inlineStr">
        <is>
          <t>Count</t>
        </is>
      </c>
      <c r="AB14" s="4" t="inlineStr">
        <is>
          <t>NSF</t>
        </is>
      </c>
    </row>
    <row r="15" ht="15.75" customHeight="1">
      <c r="A15" s="12" t="inlineStr">
        <is>
          <t>Private Offices (CO, XO, CSE, Chaplain, S-Staff Officers)</t>
        </is>
      </c>
      <c r="V15" s="13" t="n">
        <v>120</v>
      </c>
      <c r="Y15" s="13" t="n">
        <v>21</v>
      </c>
      <c r="AB15" s="14">
        <f>V15*Y15</f>
        <v/>
      </c>
    </row>
    <row r="16" ht="15.75" customHeight="1">
      <c r="A16" s="12" t="inlineStr">
        <is>
          <t>Cubicles (S-Staff NCOs, Company Admin, Supply, Ops)</t>
        </is>
      </c>
      <c r="V16" s="13" t="n">
        <v>60</v>
      </c>
      <c r="Y16" s="13" t="n">
        <v>63</v>
      </c>
      <c r="AB16" s="14">
        <f>V16*Y16</f>
        <v/>
      </c>
    </row>
    <row r="17" ht="15.75" customHeight="1">
      <c r="A17" s="15" t="inlineStr">
        <is>
          <t>Total NSF</t>
        </is>
      </c>
      <c r="AB17" s="14">
        <f>SUM(AB15:AB16)</f>
        <v/>
      </c>
    </row>
    <row r="18" ht="15.75" customHeight="1"/>
    <row r="19" ht="15.75" customHeight="1">
      <c r="A19" s="10" t="inlineStr">
        <is>
          <t>TOTAL SPACE REQUIREMENT</t>
        </is>
      </c>
    </row>
    <row r="20" ht="15.75" customHeight="1">
      <c r="A20" s="12" t="inlineStr">
        <is>
          <t>NTG Factor = 1.33, Required GSF = ROUNDUP(NSF * NTG, 0)</t>
        </is>
      </c>
      <c r="V20" s="13" t="n">
        <v>1.33</v>
      </c>
      <c r="Y20" s="25" t="inlineStr"/>
      <c r="AB20" s="14">
        <f>ROUNDUP(AB17*V20,0)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AB20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600 Series; version date 2023-03-02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fc_2_000_05n_600series_03_02_2023.pdf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[39]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61072-1: This category code is for a Fleet Marine Force (FMF) facility and provides</t>
        </is>
      </c>
      <c r="C45" s="21" t="n"/>
      <c r="D45" s="21" t="n"/>
      <c r="E45" s="21" t="n"/>
      <c r="F45" s="21" t="n"/>
      <c r="G45" s="21" t="n"/>
      <c r="H45" s="22" t="n"/>
    </row>
  </sheetData>
  <mergeCells count="51">
    <mergeCell ref="A10:AF10"/>
    <mergeCell ref="Y20:AA20"/>
    <mergeCell ref="Y4:AF4"/>
    <mergeCell ref="A13:AF13"/>
    <mergeCell ref="Y14:AA14"/>
    <mergeCell ref="A16:U16"/>
    <mergeCell ref="A19:AF19"/>
    <mergeCell ref="AB15:AF15"/>
    <mergeCell ref="B40:H40"/>
    <mergeCell ref="H37:K37"/>
    <mergeCell ref="AB20:AF20"/>
    <mergeCell ref="A9:AF9"/>
    <mergeCell ref="AB14:AF14"/>
    <mergeCell ref="M5:Q5"/>
    <mergeCell ref="V15:X15"/>
    <mergeCell ref="B45:H45"/>
    <mergeCell ref="A11:AF11"/>
    <mergeCell ref="Y16:AA16"/>
    <mergeCell ref="AE3:AF3"/>
    <mergeCell ref="B41:H41"/>
    <mergeCell ref="R3:AC3"/>
    <mergeCell ref="A6:AF6"/>
    <mergeCell ref="F4:L4"/>
    <mergeCell ref="AB16:AF16"/>
    <mergeCell ref="A14:U14"/>
    <mergeCell ref="A7:AF7"/>
    <mergeCell ref="A3:E3"/>
    <mergeCell ref="V16:X16"/>
    <mergeCell ref="C5:L5"/>
    <mergeCell ref="A17:AA17"/>
    <mergeCell ref="A20:U20"/>
    <mergeCell ref="R4:X4"/>
    <mergeCell ref="B43:H43"/>
    <mergeCell ref="F3:L3"/>
    <mergeCell ref="A5:B5"/>
    <mergeCell ref="O37:Q37"/>
    <mergeCell ref="R5:AF5"/>
    <mergeCell ref="B42:H42"/>
    <mergeCell ref="M3:Q3"/>
    <mergeCell ref="A37:G37"/>
    <mergeCell ref="AB17:AF17"/>
    <mergeCell ref="A4:E4"/>
    <mergeCell ref="V14:X14"/>
    <mergeCell ref="A15:U15"/>
    <mergeCell ref="A1:AF2"/>
    <mergeCell ref="Y15:AA15"/>
    <mergeCell ref="A8:AF8"/>
    <mergeCell ref="B44:H44"/>
    <mergeCell ref="V20:X20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143 12</t>
        </is>
      </c>
      <c r="M5" s="2" t="inlineStr">
        <is>
          <t>Nomenclature:</t>
        </is>
      </c>
      <c r="R5" s="3" t="inlineStr">
        <is>
          <t>OPRTNL VEHICLE LAYDWN AREA</t>
        </is>
      </c>
    </row>
    <row r="6" ht="28.5" customHeight="1">
      <c r="A6" s="10" t="inlineStr">
        <is>
          <t>SPACE REQUIREMENT ANALYSIS  ,  CCN 143 12  ,  FC 2-000-05N (Series 100, 11 Feb 2026)</t>
        </is>
      </c>
    </row>
    <row r="7" ht="14.5" customHeight="1">
      <c r="A7" s="11" t="inlineStr">
        <is>
          <t>OPRTNL VEHICLE LAYDWN AREA (Loading driver: Vehicle laydown areas)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100 Series; version date 2026-02-11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fc_2_000_05n_100series_02_11_2026.pdf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[189, 190]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 xml:space="preserve">  page_190_table_1 (); loading driver: TBD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  Non-mechanized CESE and SABAR (ex: Small (&lt;10FT) Fuel Water SIXCON, Motors, Pumps, A 19 168 1.50 Generators, TRICONS)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 xml:space="preserve">    Vehicles and non-mechanized CESE and Medium (10FT- SABAR (ex: Passenger Vehicles, B 32 288 1.75 20FT) HMMWV, Light Plant, Fork Lifts, Small Zodiac Boats)</t>
        </is>
      </c>
      <c r="C46" s="21" t="n"/>
      <c r="D46" s="21" t="n"/>
      <c r="E46" s="21" t="n"/>
      <c r="F46" s="21" t="n"/>
      <c r="G46" s="21" t="n"/>
      <c r="H46" s="22" t="n"/>
    </row>
    <row r="47" ht="18" customHeight="1">
      <c r="B47" s="23" t="inlineStr">
        <is>
          <t xml:space="preserve">    Large CESE and SABAR (ex: MTVR, Fuel Large (20FT-30FT) C 46 408 1.75 Trucks, Boats &lt; 30FT)</t>
        </is>
      </c>
      <c r="C47" s="21" t="n"/>
      <c r="D47" s="21" t="n"/>
      <c r="E47" s="21" t="n"/>
      <c r="F47" s="21" t="n"/>
      <c r="G47" s="21" t="n"/>
      <c r="H47" s="22" t="n"/>
    </row>
    <row r="48" ht="18" customHeight="1">
      <c r="B48" s="23" t="inlineStr">
        <is>
          <t xml:space="preserve">    Extra Large CESE and SABAR (ex: Boats Extra Large (30FT- &gt; 30FT, Scrapers, Water Well, Semi D 59 528 2.00 40FT) Trailers)</t>
        </is>
      </c>
      <c r="C48" s="21" t="n"/>
      <c r="D48" s="21" t="n"/>
      <c r="E48" s="21" t="n"/>
      <c r="F48" s="21" t="n"/>
      <c r="G48" s="21" t="n"/>
      <c r="H48" s="22" t="n"/>
    </row>
    <row r="49" ht="18" customHeight="1">
      <c r="B49" s="23" t="inlineStr">
        <is>
          <t xml:space="preserve">    Extra Large CESE and SABAR (ex: Boats Extra Large (40FT- &gt; 40FT, Scrapers, Water Well, Semi E 72 648 2.00 50FT) Trailers)</t>
        </is>
      </c>
      <c r="C49" s="21" t="n"/>
      <c r="D49" s="21" t="n"/>
      <c r="E49" s="21" t="n"/>
      <c r="F49" s="21" t="n"/>
      <c r="G49" s="21" t="n"/>
      <c r="H49" s="22" t="n"/>
    </row>
    <row r="50" ht="18" customHeight="1">
      <c r="B50" s="23" t="inlineStr">
        <is>
          <t xml:space="preserve">    Extra Large (50FT- Extra Large CESE and SABAR (ex: Boats F 86 768 2.25 60FT) &gt; 50 FT, Semi Trailers, lowboy 55T)</t>
        </is>
      </c>
      <c r="C50" s="21" t="n"/>
      <c r="D50" s="21" t="n"/>
      <c r="E50" s="21" t="n"/>
      <c r="F50" s="21" t="n"/>
      <c r="G50" s="21" t="n"/>
      <c r="H50" s="22" t="n"/>
    </row>
    <row r="51" ht="18" customHeight="1">
      <c r="B51" s="23" t="inlineStr">
        <is>
          <t xml:space="preserve">    Extra Large CESE and SABAR (ex: 11M Extra Large (60FT- Rib with Prime Mover; 40PB with Prime G 99 888 2.25 70FT) Mover)</t>
        </is>
      </c>
      <c r="C51" s="21" t="n"/>
      <c r="D51" s="21" t="n"/>
      <c r="E51" s="21" t="n"/>
      <c r="F51" s="21" t="n"/>
      <c r="G51" s="21" t="n"/>
      <c r="H51" s="22" t="n"/>
    </row>
    <row r="52" ht="18" customHeight="1">
      <c r="B52" s="23" t="inlineStr">
        <is>
          <t xml:space="preserve">  page_190_table_2 (); loading driver: TBD</t>
        </is>
      </c>
      <c r="C52" s="21" t="n"/>
      <c r="D52" s="21" t="n"/>
      <c r="E52" s="21" t="n"/>
      <c r="F52" s="21" t="n"/>
      <c r="G52" s="21" t="n"/>
      <c r="H52" s="22" t="n"/>
    </row>
    <row r="53" ht="18" customHeight="1">
      <c r="B53" s="23" t="inlineStr">
        <is>
          <t xml:space="preserve">  page_190_table_3 (); loading driver: TBD</t>
        </is>
      </c>
      <c r="C53" s="21" t="n"/>
      <c r="D53" s="21" t="n"/>
      <c r="E53" s="21" t="n"/>
      <c r="F53" s="21" t="n"/>
      <c r="G53" s="21" t="n"/>
      <c r="H53" s="22" t="n"/>
    </row>
    <row r="54" ht="18" customHeight="1">
      <c r="B54" s="23" t="inlineStr">
        <is>
          <t xml:space="preserve">    1A | 5</t>
        </is>
      </c>
      <c r="C54" s="21" t="n"/>
      <c r="D54" s="21" t="n"/>
      <c r="E54" s="21" t="n"/>
      <c r="F54" s="21" t="n"/>
      <c r="G54" s="21" t="n"/>
      <c r="H54" s="22" t="n"/>
    </row>
    <row r="55" ht="18" customHeight="1">
      <c r="B55" s="23" t="inlineStr">
        <is>
          <t xml:space="preserve">    A | 10</t>
        </is>
      </c>
      <c r="C55" s="21" t="n"/>
      <c r="D55" s="21" t="n"/>
      <c r="E55" s="21" t="n"/>
      <c r="F55" s="21" t="n"/>
      <c r="G55" s="21" t="n"/>
      <c r="H55" s="22" t="n"/>
    </row>
    <row r="56" ht="18" customHeight="1">
      <c r="B56" s="23" t="inlineStr">
        <is>
          <t xml:space="preserve">    1B | 15</t>
        </is>
      </c>
      <c r="C56" s="21" t="n"/>
      <c r="D56" s="21" t="n"/>
      <c r="E56" s="21" t="n"/>
      <c r="F56" s="21" t="n"/>
      <c r="G56" s="21" t="n"/>
      <c r="H56" s="22" t="n"/>
    </row>
    <row r="57" ht="18" customHeight="1">
      <c r="B57" s="23" t="inlineStr">
        <is>
          <t xml:space="preserve">    B | 20</t>
        </is>
      </c>
      <c r="C57" s="21" t="n"/>
      <c r="D57" s="21" t="n"/>
      <c r="E57" s="21" t="n"/>
      <c r="F57" s="21" t="n"/>
      <c r="G57" s="21" t="n"/>
      <c r="H57" s="22" t="n"/>
    </row>
    <row r="58" ht="18" customHeight="1">
      <c r="B58" s="23" t="inlineStr">
        <is>
          <t xml:space="preserve">    C | 30</t>
        </is>
      </c>
      <c r="C58" s="21" t="n"/>
      <c r="D58" s="21" t="n"/>
      <c r="E58" s="21" t="n"/>
      <c r="F58" s="21" t="n"/>
      <c r="G58" s="21" t="n"/>
      <c r="H58" s="22" t="n"/>
    </row>
    <row r="59" ht="18" customHeight="1">
      <c r="B59" s="23" t="inlineStr">
        <is>
          <t xml:space="preserve">    D | 40</t>
        </is>
      </c>
      <c r="C59" s="21" t="n"/>
      <c r="D59" s="21" t="n"/>
      <c r="E59" s="21" t="n"/>
      <c r="F59" s="21" t="n"/>
      <c r="G59" s="21" t="n"/>
      <c r="H59" s="22" t="n"/>
    </row>
    <row r="60" ht="18" customHeight="1">
      <c r="B60" s="23" t="inlineStr">
        <is>
          <t xml:space="preserve">    E | 50</t>
        </is>
      </c>
      <c r="C60" s="21" t="n"/>
      <c r="D60" s="21" t="n"/>
      <c r="E60" s="21" t="n"/>
      <c r="F60" s="21" t="n"/>
      <c r="G60" s="21" t="n"/>
      <c r="H60" s="22" t="n"/>
    </row>
    <row r="61" ht="18" customHeight="1">
      <c r="B61" s="23" t="inlineStr">
        <is>
          <t xml:space="preserve">    F | 60</t>
        </is>
      </c>
      <c r="C61" s="21" t="n"/>
      <c r="D61" s="21" t="n"/>
      <c r="E61" s="21" t="n"/>
      <c r="F61" s="21" t="n"/>
      <c r="G61" s="21" t="n"/>
      <c r="H61" s="22" t="n"/>
    </row>
  </sheetData>
  <mergeCells count="74">
    <mergeCell ref="V10:X10"/>
    <mergeCell ref="Y11:AA11"/>
    <mergeCell ref="Y4:AF4"/>
    <mergeCell ref="B40:H40"/>
    <mergeCell ref="Y10:AA10"/>
    <mergeCell ref="A7:U7"/>
    <mergeCell ref="AB15:AF15"/>
    <mergeCell ref="V9:X9"/>
    <mergeCell ref="B49:H49"/>
    <mergeCell ref="A16:AA16"/>
    <mergeCell ref="H37:K37"/>
    <mergeCell ref="B55:H55"/>
    <mergeCell ref="M5:Q5"/>
    <mergeCell ref="B51:H51"/>
    <mergeCell ref="Y7:AA7"/>
    <mergeCell ref="B45:H45"/>
    <mergeCell ref="V11:X11"/>
    <mergeCell ref="A12:U12"/>
    <mergeCell ref="AE3:AF3"/>
    <mergeCell ref="B50:H50"/>
    <mergeCell ref="B41:H41"/>
    <mergeCell ref="R3:AC3"/>
    <mergeCell ref="Y13:AA13"/>
    <mergeCell ref="A6:AF6"/>
    <mergeCell ref="F4:L4"/>
    <mergeCell ref="AB16:AF16"/>
    <mergeCell ref="B47:H47"/>
    <mergeCell ref="B54:H54"/>
    <mergeCell ref="Y12:AA12"/>
    <mergeCell ref="AB9:AF9"/>
    <mergeCell ref="B59:H59"/>
    <mergeCell ref="V7:X7"/>
    <mergeCell ref="A8:U8"/>
    <mergeCell ref="A3:E3"/>
    <mergeCell ref="B46:H46"/>
    <mergeCell ref="C5:L5"/>
    <mergeCell ref="AB12:AF12"/>
    <mergeCell ref="B56:H56"/>
    <mergeCell ref="B58:H58"/>
    <mergeCell ref="B52:H5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B48:H48"/>
    <mergeCell ref="M3:Q3"/>
    <mergeCell ref="A9:U9"/>
    <mergeCell ref="B60:H60"/>
    <mergeCell ref="AB8:AF8"/>
    <mergeCell ref="A37:G37"/>
    <mergeCell ref="B61:H61"/>
    <mergeCell ref="A4:E4"/>
    <mergeCell ref="AB13:AF13"/>
    <mergeCell ref="AB7:AF7"/>
    <mergeCell ref="B57:H57"/>
    <mergeCell ref="A15:AA15"/>
    <mergeCell ref="A1:AF2"/>
    <mergeCell ref="B44:H44"/>
    <mergeCell ref="B53:H53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143 26</t>
        </is>
      </c>
      <c r="M5" s="2" t="inlineStr">
        <is>
          <t>Nomenclature:</t>
        </is>
      </c>
      <c r="R5" s="3" t="inlineStr">
        <is>
          <t>MARINE CORPS EOD PLATOON</t>
        </is>
      </c>
    </row>
    <row r="6" ht="28.5" customHeight="1">
      <c r="A6" s="10" t="inlineStr">
        <is>
          <t>SPACE REQUIREMENT ANALYSIS  ,  CCN 143 26  ,  FC 2-000-05N (Series 100, 11 Feb 2026)</t>
        </is>
      </c>
    </row>
    <row r="7" ht="14.5" customHeight="1">
      <c r="A7" s="10" t="inlineStr">
        <is>
          <t>ADMINISTRATIVE SPACE CALCULATION</t>
        </is>
      </c>
    </row>
    <row r="8" ht="12.75" customHeight="1">
      <c r="A8" s="11" t="inlineStr">
        <is>
          <t>EOD Personnel Space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EOD Officers, Private Offices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EOD Enlisted, Workspace</t>
        </is>
      </c>
      <c r="V10" s="13" t="n">
        <v>60</v>
      </c>
      <c r="Y10" s="13" t="n">
        <v>11</v>
      </c>
      <c r="AB10" s="14">
        <f>V10*Y10</f>
        <v/>
      </c>
    </row>
    <row r="11" ht="12.75" customHeight="1">
      <c r="A11" s="15" t="inlineStr">
        <is>
          <t>Total NSF</t>
        </is>
      </c>
      <c r="AB11" s="14">
        <f>SUM(AB9:AB10)</f>
        <v/>
      </c>
    </row>
    <row r="12" ht="12.75" customHeight="1"/>
    <row r="13" ht="12.75" customHeight="1">
      <c r="A13" s="10" t="inlineStr">
        <is>
          <t>TOTAL SPACE REQUIREMENT</t>
        </is>
      </c>
    </row>
    <row r="14" ht="15.75" customHeight="1">
      <c r="A14" s="12" t="inlineStr">
        <is>
          <t>NTG Factor = 1.33, Required GSF = ROUNDUP(NSF * NTG, 0)</t>
        </is>
      </c>
      <c r="V14" s="13" t="n">
        <v>1.33</v>
      </c>
      <c r="Y14" s="25" t="inlineStr"/>
      <c r="AB14" s="14">
        <f>ROUNDUP(AB11*V14,0)</f>
        <v/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AB14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100 Series; version date 2026-02-11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fc_2_000_05n_100series_02_11_2026.pdf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[200, 201, 202, 203]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24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14326-1: This facility is necessary for manning, equipping, and training for EOD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>UoM source: CCN_VOCABULARY.json (Appendix A 2019-06-27); Series PDF heading omitted UoM, ratifier should verify against current Series text</t>
        </is>
      </c>
      <c r="C46" s="21" t="n"/>
      <c r="D46" s="21" t="n"/>
      <c r="E46" s="21" t="n"/>
      <c r="F46" s="21" t="n"/>
      <c r="G46" s="21" t="n"/>
      <c r="H46" s="22" t="n"/>
    </row>
  </sheetData>
  <mergeCells count="47">
    <mergeCell ref="V10:X10"/>
    <mergeCell ref="Y4:AF4"/>
    <mergeCell ref="A13:AF13"/>
    <mergeCell ref="Y14:AA14"/>
    <mergeCell ref="Y10:AA10"/>
    <mergeCell ref="B40:H40"/>
    <mergeCell ref="V9:X9"/>
    <mergeCell ref="H37:K37"/>
    <mergeCell ref="AB14:AF14"/>
    <mergeCell ref="M5:Q5"/>
    <mergeCell ref="B45:H45"/>
    <mergeCell ref="AE3:AF3"/>
    <mergeCell ref="B41:H41"/>
    <mergeCell ref="AB37:AF37"/>
    <mergeCell ref="R3:AC3"/>
    <mergeCell ref="A6:AF6"/>
    <mergeCell ref="F4:L4"/>
    <mergeCell ref="A14:U14"/>
    <mergeCell ref="AB9:AF9"/>
    <mergeCell ref="A7:AF7"/>
    <mergeCell ref="A8:U8"/>
    <mergeCell ref="A3:E3"/>
    <mergeCell ref="B46:H46"/>
    <mergeCell ref="C5:L5"/>
    <mergeCell ref="R4:X4"/>
    <mergeCell ref="AB11:AF11"/>
    <mergeCell ref="B43:H43"/>
    <mergeCell ref="F3:L3"/>
    <mergeCell ref="A5:B5"/>
    <mergeCell ref="Y8:AA8"/>
    <mergeCell ref="A10:U10"/>
    <mergeCell ref="O37:Q37"/>
    <mergeCell ref="R5:AF5"/>
    <mergeCell ref="B42:H42"/>
    <mergeCell ref="M3:Q3"/>
    <mergeCell ref="A9:U9"/>
    <mergeCell ref="AB8:AF8"/>
    <mergeCell ref="A37:G37"/>
    <mergeCell ref="A4:E4"/>
    <mergeCell ref="V14:X14"/>
    <mergeCell ref="A1:AF2"/>
    <mergeCell ref="B44:H44"/>
    <mergeCell ref="V8:X8"/>
    <mergeCell ref="Y9:AA9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217 10</t>
        </is>
      </c>
      <c r="M5" s="2" t="inlineStr">
        <is>
          <t>Nomenclature:</t>
        </is>
      </c>
      <c r="R5" s="3" t="inlineStr">
        <is>
          <t>ELECNX/COMMS MAINT SHOP</t>
        </is>
      </c>
    </row>
    <row r="6" ht="28.5" customHeight="1">
      <c r="A6" s="10" t="inlineStr">
        <is>
          <t>SPACE REQUIREMENT ANALYSIS  ,  CCN 217 10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4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Comm Maint Officers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Comm Maint Enlisted</t>
        </is>
      </c>
      <c r="V10" s="13" t="n">
        <v>60</v>
      </c>
      <c r="Y10" s="13" t="n">
        <v>30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4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Comm vehicles (radio shelters)</t>
        </is>
      </c>
      <c r="V15" s="25" t="n">
        <v>420</v>
      </c>
      <c r="Y15" s="13" t="n">
        <v>12</v>
      </c>
      <c r="AB15" s="25" t="inlineStr"/>
    </row>
    <row r="16" ht="15.75" customHeight="1">
      <c r="A16" s="12" t="inlineStr"/>
      <c r="V16" s="25" t="inlineStr"/>
      <c r="Y16" s="13" t="n">
        <v>0</v>
      </c>
      <c r="AB16" s="25" t="inlineStr"/>
    </row>
    <row r="17" ht="15.75" customHeight="1">
      <c r="A17" s="12" t="inlineStr"/>
      <c r="V17" s="25" t="inlineStr"/>
      <c r="Y17" s="13" t="n">
        <v>0</v>
      </c>
      <c r="AB17" s="25" t="inlineStr"/>
    </row>
    <row r="18" ht="15.75" customHeight="1">
      <c r="A18" s="12" t="inlineStr">
        <is>
          <t>Total Self-Propelled Vehicles | CEILING(total / 15) bays</t>
        </is>
      </c>
      <c r="V18" s="25" t="inlineStr"/>
      <c r="Y18" s="14">
        <f>SUM(Y15:Y17)</f>
        <v/>
      </c>
      <c r="AB18" s="25" t="inlineStr"/>
    </row>
    <row r="19" ht="15.75" customHeight="1">
      <c r="A19" s="12" t="inlineStr">
        <is>
          <t>Maintenance Bays (CEILING bays per 15 vehicles)</t>
        </is>
      </c>
      <c r="V19" s="25" t="n">
        <v>420</v>
      </c>
      <c r="Y19" s="14">
        <f>CEILING(Y18/15,1)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5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200 Series; version date 2025-05-16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fc_2_000_05n_200series_05_16_2025.pdf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[195]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21710-1: Electronics maintenance shops at Naval and Marine Corps activities</t>
        </is>
      </c>
      <c r="C45" s="21" t="n"/>
      <c r="D45" s="21" t="n"/>
      <c r="E45" s="21" t="n"/>
      <c r="F45" s="21" t="n"/>
      <c r="G45" s="21" t="n"/>
      <c r="H45" s="22" t="n"/>
    </row>
  </sheetData>
  <mergeCells count="75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B40:H40"/>
    <mergeCell ref="AB14:AF14"/>
    <mergeCell ref="Y17:AA17"/>
    <mergeCell ref="M5:Q5"/>
    <mergeCell ref="V15:X15"/>
    <mergeCell ref="A18:U18"/>
    <mergeCell ref="B45:H45"/>
    <mergeCell ref="Y16:AA16"/>
    <mergeCell ref="AE3:AF3"/>
    <mergeCell ref="B41:H41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B43:H43"/>
    <mergeCell ref="B42:H42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B44:H44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217 30</t>
        </is>
      </c>
      <c r="M5" s="2" t="inlineStr">
        <is>
          <t>Nomenclature:</t>
        </is>
      </c>
      <c r="R5" s="3" t="inlineStr">
        <is>
          <t>FLD MAINT SHOP(ELEC/COMMS)</t>
        </is>
      </c>
    </row>
    <row r="6" ht="28.5" customHeight="1">
      <c r="A6" s="10" t="inlineStr">
        <is>
          <t>SPACE REQUIREMENT ANALYSIS  ,  CCN 217 30  ,  FC 2-000-05N (Series 100, 11 Feb 2026)</t>
        </is>
      </c>
    </row>
    <row r="7" ht="14.5" customHeight="1">
      <c r="A7" s="10" t="inlineStr">
        <is>
          <t>SECTION 1 - ADMINISTRATIVE SPACE</t>
        </is>
      </c>
    </row>
    <row r="8" ht="12.75" customHeight="1">
      <c r="A8" s="24" t="inlineStr">
        <is>
          <t>Personnel Category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Field Maint Officers</t>
        </is>
      </c>
      <c r="V9" s="13" t="n">
        <v>120</v>
      </c>
      <c r="Y9" s="13" t="n">
        <v>2</v>
      </c>
      <c r="AB9" s="14">
        <f>V9*Y9</f>
        <v/>
      </c>
    </row>
    <row r="10" ht="12.75" customHeight="1">
      <c r="A10" s="12" t="inlineStr">
        <is>
          <t>Field Maint Enlisted</t>
        </is>
      </c>
      <c r="V10" s="13" t="n">
        <v>60</v>
      </c>
      <c r="Y10" s="13" t="n">
        <v>33</v>
      </c>
      <c r="AB10" s="14">
        <f>V10*Y10</f>
        <v/>
      </c>
    </row>
    <row r="11" ht="12.75" customHeight="1">
      <c r="A11" s="15" t="inlineStr">
        <is>
          <t>Administrative Subtotal</t>
        </is>
      </c>
      <c r="AB11" s="14">
        <f>SUM(AB9:AB10)</f>
        <v/>
      </c>
    </row>
    <row r="12" ht="12.75" customHeight="1"/>
    <row r="13" ht="12.75" customHeight="1">
      <c r="A13" s="10" t="inlineStr">
        <is>
          <t>SECTION 2 - MAINTENANCE BAYS</t>
        </is>
      </c>
    </row>
    <row r="14" ht="15.75" customHeight="1">
      <c r="A14" s="24" t="inlineStr">
        <is>
          <t>Vehicle Category</t>
        </is>
      </c>
      <c r="V14" s="4" t="inlineStr">
        <is>
          <t>SF / Bay</t>
        </is>
      </c>
      <c r="Y14" s="4" t="inlineStr">
        <is>
          <t>Qty</t>
        </is>
      </c>
      <c r="AB14" s="4" t="inlineStr">
        <is>
          <t>NSF</t>
        </is>
      </c>
    </row>
    <row r="15" ht="15.75" customHeight="1">
      <c r="A15" s="12" t="inlineStr">
        <is>
          <t>Field maintenance vehicles</t>
        </is>
      </c>
      <c r="V15" s="25" t="n">
        <v>420</v>
      </c>
      <c r="Y15" s="13" t="n">
        <v>18</v>
      </c>
      <c r="AB15" s="25" t="inlineStr"/>
    </row>
    <row r="16" ht="15.75" customHeight="1">
      <c r="A16" s="12" t="inlineStr"/>
      <c r="V16" s="25" t="inlineStr"/>
      <c r="Y16" s="13" t="n">
        <v>0</v>
      </c>
      <c r="AB16" s="25" t="inlineStr"/>
    </row>
    <row r="17" ht="15.75" customHeight="1">
      <c r="A17" s="12" t="inlineStr"/>
      <c r="V17" s="25" t="inlineStr"/>
      <c r="Y17" s="13" t="n">
        <v>0</v>
      </c>
      <c r="AB17" s="25" t="inlineStr"/>
    </row>
    <row r="18" ht="15.75" customHeight="1">
      <c r="A18" s="12" t="inlineStr">
        <is>
          <t>Total Self-Propelled Vehicles | CEILING(total / 15) bays</t>
        </is>
      </c>
      <c r="V18" s="25" t="inlineStr"/>
      <c r="Y18" s="14">
        <f>SUM(Y15:Y17)</f>
        <v/>
      </c>
      <c r="AB18" s="25" t="inlineStr"/>
    </row>
    <row r="19" ht="15.75" customHeight="1">
      <c r="A19" s="12" t="inlineStr">
        <is>
          <t>Maintenance Bays (CEILING bays per 15 vehicles)</t>
        </is>
      </c>
      <c r="V19" s="25" t="n">
        <v>420</v>
      </c>
      <c r="Y19" s="14">
        <f>CEILING(Y18/15,1)</f>
        <v/>
      </c>
      <c r="AB19" s="14">
        <f>V19*Y19</f>
        <v/>
      </c>
    </row>
    <row r="20" ht="15.75" customHeight="1">
      <c r="A20" s="15" t="inlineStr">
        <is>
          <t>Maintenance Bays Subtotal</t>
        </is>
      </c>
      <c r="AB20" s="14">
        <f>AB19</f>
        <v/>
      </c>
    </row>
    <row r="21" ht="15.75" customHeight="1"/>
    <row r="22" ht="15.75" customHeight="1">
      <c r="A22" s="10" t="inlineStr">
        <is>
          <t>TOTAL SPACE REQUIREMENT</t>
        </is>
      </c>
    </row>
    <row r="23" ht="15.75" customHeight="1">
      <c r="A23" s="15" t="inlineStr">
        <is>
          <t>Total NSF (Administrative + Maintenance Bays)</t>
        </is>
      </c>
      <c r="AB23" s="14">
        <f>AB11+AB20</f>
        <v/>
      </c>
    </row>
    <row r="24" ht="15.75" customHeight="1">
      <c r="A24" s="12" t="inlineStr">
        <is>
          <t>NTG Factor = 1.33, Required GSF = ROUNDUP(NSF * NTG, 0)</t>
        </is>
      </c>
      <c r="V24" s="13" t="n">
        <v>1.33</v>
      </c>
      <c r="Y24" s="25" t="inlineStr"/>
      <c r="AB24" s="14">
        <f>ROUNDUP(AB23*V24,0)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AB24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200 Series; version date 2025-05-16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fc_2_000_05n_200series_05_16_2025.pdf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[196]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21730-1: This field maintenance shop provides specialized work areas for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>UoM source: CCN_VOCABULARY.json (Appendix A 2019-06-27); Series PDF heading omitted UoM, ratifier should verify against current Series text</t>
        </is>
      </c>
      <c r="C46" s="21" t="n"/>
      <c r="D46" s="21" t="n"/>
      <c r="E46" s="21" t="n"/>
      <c r="F46" s="21" t="n"/>
      <c r="G46" s="21" t="n"/>
      <c r="H46" s="22" t="n"/>
    </row>
  </sheetData>
  <mergeCells count="76">
    <mergeCell ref="V10:X10"/>
    <mergeCell ref="Y4:AF4"/>
    <mergeCell ref="A13:AF13"/>
    <mergeCell ref="Y14:AA14"/>
    <mergeCell ref="Y10:AA10"/>
    <mergeCell ref="A16:U16"/>
    <mergeCell ref="AB15:AF15"/>
    <mergeCell ref="AB18:AF18"/>
    <mergeCell ref="V9:X9"/>
    <mergeCell ref="Y19:AA19"/>
    <mergeCell ref="V24:X24"/>
    <mergeCell ref="AB24:AF24"/>
    <mergeCell ref="AB20:AF20"/>
    <mergeCell ref="H37:K37"/>
    <mergeCell ref="B40:H40"/>
    <mergeCell ref="AB14:AF14"/>
    <mergeCell ref="Y17:AA17"/>
    <mergeCell ref="M5:Q5"/>
    <mergeCell ref="V15:X15"/>
    <mergeCell ref="A18:U18"/>
    <mergeCell ref="B45:H45"/>
    <mergeCell ref="Y16:AA16"/>
    <mergeCell ref="AE3:AF3"/>
    <mergeCell ref="B41:H41"/>
    <mergeCell ref="AB37:AF37"/>
    <mergeCell ref="R3:AC3"/>
    <mergeCell ref="A6:AF6"/>
    <mergeCell ref="F4:L4"/>
    <mergeCell ref="AB16:AF16"/>
    <mergeCell ref="Y18:AA18"/>
    <mergeCell ref="A14:U14"/>
    <mergeCell ref="AB9:AF9"/>
    <mergeCell ref="A7:AF7"/>
    <mergeCell ref="A17:U17"/>
    <mergeCell ref="A23:AA23"/>
    <mergeCell ref="A8:U8"/>
    <mergeCell ref="A3:E3"/>
    <mergeCell ref="V16:X16"/>
    <mergeCell ref="C5:L5"/>
    <mergeCell ref="B46:H46"/>
    <mergeCell ref="V19:X19"/>
    <mergeCell ref="R4:X4"/>
    <mergeCell ref="AB11:AF11"/>
    <mergeCell ref="A20:AA20"/>
    <mergeCell ref="A19:U19"/>
    <mergeCell ref="F3:L3"/>
    <mergeCell ref="A5:B5"/>
    <mergeCell ref="Y8:AA8"/>
    <mergeCell ref="A10:U10"/>
    <mergeCell ref="V18:X18"/>
    <mergeCell ref="O37:Q37"/>
    <mergeCell ref="R5:AF5"/>
    <mergeCell ref="B43:H43"/>
    <mergeCell ref="B42:H42"/>
    <mergeCell ref="V17:X17"/>
    <mergeCell ref="M3:Q3"/>
    <mergeCell ref="A9:U9"/>
    <mergeCell ref="AB23:AF23"/>
    <mergeCell ref="AB8:AF8"/>
    <mergeCell ref="A37:G37"/>
    <mergeCell ref="AB17:AF17"/>
    <mergeCell ref="A4:E4"/>
    <mergeCell ref="A24:U24"/>
    <mergeCell ref="V14:X14"/>
    <mergeCell ref="Y24:AA24"/>
    <mergeCell ref="A15:U15"/>
    <mergeCell ref="A1:AF2"/>
    <mergeCell ref="Y15:AA15"/>
    <mergeCell ref="B44:H44"/>
    <mergeCell ref="V8:X8"/>
    <mergeCell ref="Y9:AA9"/>
    <mergeCell ref="AB19:AF19"/>
    <mergeCell ref="A22:AF22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441 12</t>
        </is>
      </c>
      <c r="M5" s="2" t="inlineStr">
        <is>
          <t>Nomenclature:</t>
        </is>
      </c>
      <c r="R5" s="3" t="inlineStr">
        <is>
          <t>STG AIR/GRD ORG UTS MARCOR</t>
        </is>
      </c>
    </row>
    <row r="6" ht="28.5" customHeight="1">
      <c r="A6" s="10" t="inlineStr">
        <is>
          <t>SPACE REQUIREMENT ANALYSIS  ,  CCN 441 12  ,  FC 2-000-05N (Series 100, 11 Feb 2026)</t>
        </is>
      </c>
    </row>
    <row r="7" ht="14.5" customHeight="1">
      <c r="A7" s="11" t="inlineStr">
        <is>
          <t>STG AIR/GRD ORG UTS MARCOR (Loading driver: Storage personnel)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60</v>
      </c>
      <c r="Y8" s="13" t="n">
        <v>84</v>
      </c>
      <c r="AB8" s="14">
        <f>V8*Y8*1.33</f>
        <v/>
      </c>
    </row>
    <row r="9" ht="12.75" customHeight="1">
      <c r="A9" s="12" t="inlineStr"/>
      <c r="V9" s="13" t="inlineStr"/>
      <c r="Y9" s="13" t="inlineStr"/>
      <c r="AB9" s="14">
        <f>V9*Y9*1.33</f>
        <v/>
      </c>
    </row>
    <row r="10" ht="12.75" customHeight="1">
      <c r="A10" s="12" t="inlineStr"/>
      <c r="V10" s="13" t="inlineStr"/>
      <c r="Y10" s="13" t="inlineStr"/>
      <c r="AB10" s="14">
        <f>V10*Y10*1.33</f>
        <v/>
      </c>
    </row>
    <row r="11" ht="12.75" customHeight="1">
      <c r="A11" s="12" t="inlineStr"/>
      <c r="V11" s="13" t="inlineStr"/>
      <c r="Y11" s="13" t="inlineStr"/>
      <c r="AB11" s="14">
        <f>V11*Y11*1.33</f>
        <v/>
      </c>
    </row>
    <row r="12" ht="12.75" customHeight="1">
      <c r="A12" s="12" t="inlineStr"/>
      <c r="V12" s="13" t="inlineStr"/>
      <c r="Y12" s="13" t="inlineStr"/>
      <c r="AB12" s="14">
        <f>V12*Y12*1.33</f>
        <v/>
      </c>
    </row>
    <row r="13" ht="12.75" customHeight="1">
      <c r="A13" s="12" t="inlineStr"/>
      <c r="V13" s="13" t="inlineStr"/>
      <c r="Y13" s="13" t="inlineStr"/>
      <c r="AB13" s="14">
        <f>V13*Y13*1.33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1.33)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400 Series; version date 2025-11-19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fc_2_000_05n_400series_11_19_2025.pdf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[46]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44112-1: DESCRIPTION. This category code includes general purpose storage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451 10</t>
        </is>
      </c>
      <c r="M5" s="2" t="inlineStr">
        <is>
          <t>Nomenclature:</t>
        </is>
      </c>
      <c r="R5" s="3" t="inlineStr">
        <is>
          <t>OPEN STORAGE AREA</t>
        </is>
      </c>
    </row>
    <row r="6" ht="28.5" customHeight="1">
      <c r="A6" s="10" t="inlineStr">
        <is>
          <t>SPACE REQUIREMENT ANALYSIS  ,  CCN 451 10  ,  FC 2-000-05N (Series 100, 11 Feb 2026)</t>
        </is>
      </c>
    </row>
    <row r="7" ht="14.5" customHeight="1">
      <c r="A7" s="11" t="inlineStr">
        <is>
          <t>OPEN STORAGE AREA (Loading driver: Open storage area)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84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400 Series; version date 2025-11-19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fc_2_000_05n_400series_11_19_2025.pdf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[50, 51]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2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45110-1: DESCRIPTION. This category group consists of non-covered storage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530 10</t>
        </is>
      </c>
      <c r="M5" s="2" t="inlineStr">
        <is>
          <t>Nomenclature:</t>
        </is>
      </c>
      <c r="R5" s="3" t="inlineStr">
        <is>
          <t>DISP &amp; OUT PATIENT CLINIC</t>
        </is>
      </c>
    </row>
    <row r="6" ht="28.5" customHeight="1">
      <c r="A6" s="10" t="inlineStr">
        <is>
          <t>SPACE REQUIREMENT ANALYSIS  ,  CCN 530 10  ,  FC 2-000-05N (Series 100, 11 Feb 2026)</t>
        </is>
      </c>
    </row>
    <row r="7" ht="14.5" customHeight="1">
      <c r="A7" s="10" t="inlineStr">
        <is>
          <t>ADMINISTRATIVE SPACE CALCULATION</t>
        </is>
      </c>
    </row>
    <row r="8" ht="12.75" customHeight="1">
      <c r="A8" s="11" t="inlineStr">
        <is>
          <t>BAS Personnel Space</t>
        </is>
      </c>
      <c r="V8" s="4" t="inlineStr">
        <is>
          <t>SF / Person</t>
        </is>
      </c>
      <c r="Y8" s="4" t="inlineStr">
        <is>
          <t>Count</t>
        </is>
      </c>
      <c r="AB8" s="4" t="inlineStr">
        <is>
          <t>NSF</t>
        </is>
      </c>
    </row>
    <row r="9" ht="12.75" customHeight="1">
      <c r="A9" s="12" t="inlineStr">
        <is>
          <t>BAS Medical Officers / IDC</t>
        </is>
      </c>
      <c r="V9" s="13" t="n">
        <v>120</v>
      </c>
      <c r="Y9" s="13" t="n">
        <v>4</v>
      </c>
      <c r="AB9" s="14">
        <f>V9*Y9</f>
        <v/>
      </c>
    </row>
    <row r="10" ht="12.75" customHeight="1">
      <c r="A10" s="12" t="inlineStr">
        <is>
          <t>Hospital Corpsmen / Field Med Tech / Dental Asst</t>
        </is>
      </c>
      <c r="V10" s="13" t="n">
        <v>60</v>
      </c>
      <c r="Y10" s="13" t="n">
        <v>30</v>
      </c>
      <c r="AB10" s="14">
        <f>V10*Y10</f>
        <v/>
      </c>
    </row>
    <row r="11" ht="12.75" customHeight="1">
      <c r="A11" s="15" t="inlineStr">
        <is>
          <t>Total NSF</t>
        </is>
      </c>
      <c r="AB11" s="14">
        <f>SUM(AB9:AB10)</f>
        <v/>
      </c>
    </row>
    <row r="12" ht="12.75" customHeight="1"/>
    <row r="13" ht="12.75" customHeight="1">
      <c r="A13" s="10" t="inlineStr">
        <is>
          <t>TOTAL SPACE REQUIREMENT</t>
        </is>
      </c>
    </row>
    <row r="14" ht="15.75" customHeight="1">
      <c r="A14" s="12" t="inlineStr">
        <is>
          <t>NTG Factor = 1.33, Required GSF = ROUNDUP(NSF * NTG, 0)</t>
        </is>
      </c>
      <c r="V14" s="13" t="n">
        <v>1.33</v>
      </c>
      <c r="Y14" s="25" t="inlineStr"/>
      <c r="AB14" s="14">
        <f>ROUNDUP(AB11*V14,0)</f>
        <v/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AB14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500 Series; version date 2023-03-17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fc_2_000_05n_500series_03_17_2023.pdf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[8]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53010-1: GENERAL. Free Standing Clinic, outpatient clinic, which occupies a</t>
        </is>
      </c>
      <c r="C45" s="21" t="n"/>
      <c r="D45" s="21" t="n"/>
      <c r="E45" s="21" t="n"/>
      <c r="F45" s="21" t="n"/>
      <c r="G45" s="21" t="n"/>
      <c r="H45" s="22" t="n"/>
    </row>
  </sheetData>
  <mergeCells count="46">
    <mergeCell ref="V10:X10"/>
    <mergeCell ref="Y4:AF4"/>
    <mergeCell ref="A13:AF13"/>
    <mergeCell ref="Y14:AA14"/>
    <mergeCell ref="Y10:AA10"/>
    <mergeCell ref="B40:H40"/>
    <mergeCell ref="V9:X9"/>
    <mergeCell ref="H37:K37"/>
    <mergeCell ref="AB14:AF14"/>
    <mergeCell ref="M5:Q5"/>
    <mergeCell ref="B45:H45"/>
    <mergeCell ref="AE3:AF3"/>
    <mergeCell ref="B41:H41"/>
    <mergeCell ref="AB37:AF37"/>
    <mergeCell ref="R3:AC3"/>
    <mergeCell ref="A6:AF6"/>
    <mergeCell ref="F4:L4"/>
    <mergeCell ref="A14:U14"/>
    <mergeCell ref="AB9:AF9"/>
    <mergeCell ref="A7:AF7"/>
    <mergeCell ref="A8:U8"/>
    <mergeCell ref="A3:E3"/>
    <mergeCell ref="C5:L5"/>
    <mergeCell ref="R4:X4"/>
    <mergeCell ref="AB11:AF11"/>
    <mergeCell ref="B43:H43"/>
    <mergeCell ref="F3:L3"/>
    <mergeCell ref="A5:B5"/>
    <mergeCell ref="Y8:AA8"/>
    <mergeCell ref="A10:U10"/>
    <mergeCell ref="O37:Q37"/>
    <mergeCell ref="R5:AF5"/>
    <mergeCell ref="B42:H42"/>
    <mergeCell ref="M3:Q3"/>
    <mergeCell ref="A9:U9"/>
    <mergeCell ref="AB8:AF8"/>
    <mergeCell ref="A37:G37"/>
    <mergeCell ref="A4:E4"/>
    <mergeCell ref="V14:X14"/>
    <mergeCell ref="A1:AF2"/>
    <mergeCell ref="B44:H44"/>
    <mergeCell ref="V8:X8"/>
    <mergeCell ref="Y9:AA9"/>
    <mergeCell ref="AB10:AF10"/>
    <mergeCell ref="A11:AA11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72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852 10</t>
        </is>
      </c>
      <c r="M5" s="2" t="inlineStr">
        <is>
          <t>Nomenclature:</t>
        </is>
      </c>
      <c r="R5" s="3" t="inlineStr">
        <is>
          <t>PARKING AREA</t>
        </is>
      </c>
    </row>
    <row r="6" ht="28.5" customHeight="1">
      <c r="A6" s="10" t="inlineStr">
        <is>
          <t>SPACE REQUIREMENT ANALYSIS  ,  CCN 852 10  ,  FC 2-000-05N (Series 100, 11 Feb 2026)</t>
        </is>
      </c>
    </row>
    <row r="7" ht="14.5" customHeight="1">
      <c r="A7" s="11" t="inlineStr">
        <is>
          <t>PARKING AREA (Loading driver: Organizational Vehicle Parking (count of CLB-4 motor pool vehicles); FAC 8521; cited factor 75 SY/vehicle for FMF Ground Units (50 SY/vehicle if &gt;50% are &lt;=18ft x 6.5ft); UoM=SY; user-supplied spec 2026-04-30 pending FC 2-000-05N Series 800 cross-check)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75</v>
      </c>
      <c r="Y8" s="13" t="n">
        <v>100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[60, 61, 62, 63]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 xml:space="preserve">  Table 85210-1 (); loading driver: Personnel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  Bank and Credit Union, when not included in a Community Shopping | 2% of customers served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 xml:space="preserve">    Cafeteria, Civilian, when not included in a Community Shopping Center | 15% of seating capacity</t>
        </is>
      </c>
      <c r="C46" s="21" t="n"/>
      <c r="D46" s="21" t="n"/>
      <c r="E46" s="21" t="n"/>
      <c r="F46" s="21" t="n"/>
      <c r="G46" s="21" t="n"/>
      <c r="H46" s="22" t="n"/>
    </row>
    <row r="47" ht="18" customHeight="1">
      <c r="B47" s="23" t="inlineStr">
        <is>
          <t xml:space="preserve">    Central Food Preparation Facilities | 38% of employees</t>
        </is>
      </c>
      <c r="C47" s="21" t="n"/>
      <c r="D47" s="21" t="n"/>
      <c r="E47" s="21" t="n"/>
      <c r="F47" s="21" t="n"/>
      <c r="G47" s="21" t="n"/>
      <c r="H47" s="22" t="n"/>
    </row>
    <row r="48" ht="18" customHeight="1">
      <c r="B48" s="23" t="inlineStr">
        <is>
          <t xml:space="preserve">    Chapels | 30% of seating capacity</t>
        </is>
      </c>
      <c r="C48" s="21" t="n"/>
      <c r="D48" s="21" t="n"/>
      <c r="E48" s="21" t="n"/>
      <c r="F48" s="21" t="n"/>
      <c r="G48" s="21" t="n"/>
      <c r="H48" s="22" t="n"/>
    </row>
    <row r="49" ht="18" customHeight="1">
      <c r="B49" s="23" t="inlineStr">
        <is>
          <t xml:space="preserve">    Child Development Centers (Patron Parking) | 10% of children served</t>
        </is>
      </c>
      <c r="C49" s="21" t="n"/>
      <c r="D49" s="21" t="n"/>
      <c r="E49" s="21" t="n"/>
      <c r="F49" s="21" t="n"/>
      <c r="G49" s="21" t="n"/>
      <c r="H49" s="22" t="n"/>
    </row>
    <row r="50" ht="18" customHeight="1">
      <c r="B50" s="23" t="inlineStr">
        <is>
          <t xml:space="preserve">    Child Development Centers (Staff Parking) | 80% of staff</t>
        </is>
      </c>
      <c r="C50" s="21" t="n"/>
      <c r="D50" s="21" t="n"/>
      <c r="E50" s="21" t="n"/>
      <c r="F50" s="21" t="n"/>
      <c r="G50" s="21" t="n"/>
      <c r="H50" s="22" t="n"/>
    </row>
    <row r="51" ht="18" customHeight="1">
      <c r="B51" s="23" t="inlineStr">
        <is>
          <t xml:space="preserve">    Commissary Stores, Food Sales, when not included in a Community Shopping Center | Contact DeCA for parking requirements.</t>
        </is>
      </c>
      <c r="C51" s="21" t="n"/>
      <c r="D51" s="21" t="n"/>
      <c r="E51" s="21" t="n"/>
      <c r="F51" s="21" t="n"/>
      <c r="G51" s="21" t="n"/>
      <c r="H51" s="22" t="n"/>
    </row>
    <row r="52" ht="18" customHeight="1">
      <c r="B52" s="23" t="inlineStr">
        <is>
          <t xml:space="preserve">    Community Shopping Center, including such elements as Main Exchange, Miscellaneous Shops, Restaurant, Commissary Stores, Food Sales, Bank, Theater, Post Office | 4% of customers served</t>
        </is>
      </c>
      <c r="C52" s="21" t="n"/>
      <c r="D52" s="21" t="n"/>
      <c r="E52" s="21" t="n"/>
      <c r="F52" s="21" t="n"/>
      <c r="G52" s="21" t="n"/>
      <c r="H52" s="22" t="n"/>
    </row>
    <row r="53" ht="18" customHeight="1">
      <c r="B53" s="23" t="inlineStr">
        <is>
          <t xml:space="preserve">    ... and 3 more rows; see audit/PLANNING_FACTORS.yaml CCN 85210</t>
        </is>
      </c>
      <c r="C53" s="21" t="n"/>
      <c r="D53" s="21" t="n"/>
      <c r="E53" s="21" t="n"/>
      <c r="F53" s="21" t="n"/>
      <c r="G53" s="21" t="n"/>
      <c r="H53" s="22" t="n"/>
    </row>
    <row r="54" ht="18" customHeight="1">
      <c r="B54" s="23" t="inlineStr">
        <is>
          <t xml:space="preserve">  page_62_table_2 (); loading driver: Personnel</t>
        </is>
      </c>
      <c r="C54" s="21" t="n"/>
      <c r="D54" s="21" t="n"/>
      <c r="E54" s="21" t="n"/>
      <c r="F54" s="21" t="n"/>
      <c r="G54" s="21" t="n"/>
      <c r="H54" s="22" t="n"/>
    </row>
    <row r="55" ht="18" customHeight="1">
      <c r="B55" s="23" t="inlineStr">
        <is>
          <t xml:space="preserve">    Family Housing | 2.5 spaces per living unit</t>
        </is>
      </c>
      <c r="C55" s="21" t="n"/>
      <c r="D55" s="21" t="n"/>
      <c r="E55" s="21" t="n"/>
      <c r="F55" s="21" t="n"/>
      <c r="G55" s="21" t="n"/>
      <c r="H55" s="22" t="n"/>
    </row>
    <row r="56" ht="18" customHeight="1">
      <c r="B56" s="23" t="inlineStr">
        <is>
          <t xml:space="preserve">    Field House, combined with Football and Baseball Facilities | 1% of military strength</t>
        </is>
      </c>
      <c r="C56" s="21" t="n"/>
      <c r="D56" s="21" t="n"/>
      <c r="E56" s="21" t="n"/>
      <c r="F56" s="21" t="n"/>
      <c r="G56" s="21" t="n"/>
      <c r="H56" s="22" t="n"/>
    </row>
    <row r="57" ht="18" customHeight="1">
      <c r="B57" s="23" t="inlineStr">
        <is>
          <t xml:space="preserve">    Fire Stations | 100% of largest shift</t>
        </is>
      </c>
      <c r="C57" s="21" t="n"/>
      <c r="D57" s="21" t="n"/>
      <c r="E57" s="21" t="n"/>
      <c r="F57" s="21" t="n"/>
      <c r="G57" s="21" t="n"/>
      <c r="H57" s="22" t="n"/>
    </row>
    <row r="58" ht="18" customHeight="1">
      <c r="B58" s="23" t="inlineStr">
        <is>
          <t xml:space="preserve">    Guard Houses, Brigs, Military Police Stations | 30% of guard and staff strength</t>
        </is>
      </c>
      <c r="C58" s="21" t="n"/>
      <c r="D58" s="21" t="n"/>
      <c r="E58" s="21" t="n"/>
      <c r="F58" s="21" t="n"/>
      <c r="G58" s="21" t="n"/>
      <c r="H58" s="22" t="n"/>
    </row>
    <row r="59" ht="18" customHeight="1">
      <c r="B59" s="23" t="inlineStr">
        <is>
          <t xml:space="preserve">    Fitness Center | 1 percent of military strength served</t>
        </is>
      </c>
      <c r="C59" s="21" t="n"/>
      <c r="D59" s="21" t="n"/>
      <c r="E59" s="21" t="n"/>
      <c r="F59" s="21" t="n"/>
      <c r="G59" s="21" t="n"/>
      <c r="H59" s="22" t="n"/>
    </row>
    <row r="60" ht="18" customHeight="1">
      <c r="B60" s="23" t="inlineStr">
        <is>
          <t xml:space="preserve">    Laundries and Dry Cleaning Plants | 38% of employees</t>
        </is>
      </c>
      <c r="C60" s="21" t="n"/>
      <c r="D60" s="21" t="n"/>
      <c r="E60" s="21" t="n"/>
      <c r="F60" s="21" t="n"/>
      <c r="G60" s="21" t="n"/>
      <c r="H60" s="22" t="n"/>
    </row>
    <row r="61" ht="18" customHeight="1">
      <c r="B61" s="23" t="inlineStr">
        <is>
          <t xml:space="preserve">    Libraries (Central) | 1 space for each 46 m2 (500 ft2) of gross floor area</t>
        </is>
      </c>
      <c r="C61" s="21" t="n"/>
      <c r="D61" s="21" t="n"/>
      <c r="E61" s="21" t="n"/>
      <c r="F61" s="21" t="n"/>
      <c r="G61" s="21" t="n"/>
      <c r="H61" s="22" t="n"/>
    </row>
    <row r="62" ht="18" customHeight="1">
      <c r="B62" s="23" t="inlineStr">
        <is>
          <t xml:space="preserve">    Libraries (Branch) | 8 spaces</t>
        </is>
      </c>
      <c r="C62" s="21" t="n"/>
      <c r="D62" s="21" t="n"/>
      <c r="E62" s="21" t="n"/>
      <c r="F62" s="21" t="n"/>
      <c r="G62" s="21" t="n"/>
      <c r="H62" s="22" t="n"/>
    </row>
    <row r="63" ht="18" customHeight="1">
      <c r="B63" s="23" t="inlineStr">
        <is>
          <t xml:space="preserve">    ... and 10 more rows; see audit/PLANNING_FACTORS.yaml CCN 85210</t>
        </is>
      </c>
      <c r="C63" s="21" t="n"/>
      <c r="D63" s="21" t="n"/>
      <c r="E63" s="21" t="n"/>
      <c r="F63" s="21" t="n"/>
      <c r="G63" s="21" t="n"/>
      <c r="H63" s="22" t="n"/>
    </row>
    <row r="64" ht="18" customHeight="1">
      <c r="B64" s="23" t="inlineStr">
        <is>
          <t xml:space="preserve">  page_63_table_3 (); loading driver: TBD</t>
        </is>
      </c>
      <c r="C64" s="21" t="n"/>
      <c r="D64" s="21" t="n"/>
      <c r="E64" s="21" t="n"/>
      <c r="F64" s="21" t="n"/>
      <c r="G64" s="21" t="n"/>
      <c r="H64" s="22" t="n"/>
    </row>
    <row r="65" ht="18" customHeight="1">
      <c r="B65" s="23" t="inlineStr">
        <is>
          <t xml:space="preserve">    Security Offices: Population served 10,001 and over | To be based on a special study.</t>
        </is>
      </c>
      <c r="C65" s="21" t="n"/>
      <c r="D65" s="21" t="n"/>
      <c r="E65" s="21" t="n"/>
      <c r="F65" s="21" t="n"/>
      <c r="G65" s="21" t="n"/>
      <c r="H65" s="22" t="n"/>
    </row>
    <row r="66" ht="18" customHeight="1">
      <c r="B66" s="23" t="inlineStr">
        <is>
          <t xml:space="preserve">    Service Clubs (Open Mess and Club Facility) | 2% of military strength served</t>
        </is>
      </c>
      <c r="C66" s="21" t="n"/>
      <c r="D66" s="21" t="n"/>
      <c r="E66" s="21" t="n"/>
      <c r="F66" s="21" t="n"/>
      <c r="G66" s="21" t="n"/>
      <c r="H66" s="22" t="n"/>
    </row>
    <row r="67" ht="18" customHeight="1">
      <c r="B67" s="23" t="inlineStr">
        <is>
          <t xml:space="preserve">    Swimming Pools | 20 percent of the pool capacity</t>
        </is>
      </c>
      <c r="C67" s="21" t="n"/>
      <c r="D67" s="21" t="n"/>
      <c r="E67" s="21" t="n"/>
      <c r="F67" s="21" t="n"/>
      <c r="G67" s="21" t="n"/>
      <c r="H67" s="22" t="n"/>
    </row>
    <row r="68" ht="18" customHeight="1">
      <c r="B68" s="23" t="inlineStr">
        <is>
          <t xml:space="preserve">    Temporary Lodging Facilities | 90% of bedrooms</t>
        </is>
      </c>
      <c r="C68" s="21" t="n"/>
      <c r="D68" s="21" t="n"/>
      <c r="E68" s="21" t="n"/>
      <c r="F68" s="21" t="n"/>
      <c r="G68" s="21" t="n"/>
      <c r="H68" s="22" t="n"/>
    </row>
    <row r="69" ht="18" customHeight="1">
      <c r="B69" s="23" t="inlineStr">
        <is>
          <t xml:space="preserve">    Theaters, when not included in a Community Shopping Center | 25% of seating capacity</t>
        </is>
      </c>
      <c r="C69" s="21" t="n"/>
      <c r="D69" s="21" t="n"/>
      <c r="E69" s="21" t="n"/>
      <c r="F69" s="21" t="n"/>
      <c r="G69" s="21" t="n"/>
      <c r="H69" s="22" t="n"/>
    </row>
    <row r="70" ht="18" customHeight="1">
      <c r="B70" s="23" t="inlineStr">
        <is>
          <t xml:space="preserve">    Training Buildings (Staff Parking) | 70% of staff</t>
        </is>
      </c>
      <c r="C70" s="21" t="n"/>
      <c r="D70" s="21" t="n"/>
      <c r="E70" s="21" t="n"/>
      <c r="F70" s="21" t="n"/>
      <c r="G70" s="21" t="n"/>
      <c r="H70" s="22" t="n"/>
    </row>
    <row r="71" ht="18" customHeight="1">
      <c r="B71" s="23" t="inlineStr">
        <is>
          <t xml:space="preserve">    Training Buildings (Student Parking) | 60% of students</t>
        </is>
      </c>
      <c r="C71" s="21" t="n"/>
      <c r="D71" s="21" t="n"/>
      <c r="E71" s="21" t="n"/>
      <c r="F71" s="21" t="n"/>
      <c r="G71" s="21" t="n"/>
      <c r="H71" s="22" t="n"/>
    </row>
    <row r="72" ht="18" customHeight="1">
      <c r="B72" s="23" t="inlineStr">
        <is>
          <t xml:space="preserve">    Warehouses | 40% of employees</t>
        </is>
      </c>
      <c r="C72" s="21" t="n"/>
      <c r="D72" s="21" t="n"/>
      <c r="E72" s="21" t="n"/>
      <c r="F72" s="21" t="n"/>
      <c r="G72" s="21" t="n"/>
      <c r="H72" s="22" t="n"/>
    </row>
  </sheetData>
  <mergeCells count="85">
    <mergeCell ref="V10:X10"/>
    <mergeCell ref="Y11:AA11"/>
    <mergeCell ref="B40:H40"/>
    <mergeCell ref="B49:H49"/>
    <mergeCell ref="A16:AA16"/>
    <mergeCell ref="B55:H55"/>
    <mergeCell ref="B64:H64"/>
    <mergeCell ref="B51:H51"/>
    <mergeCell ref="B41:H41"/>
    <mergeCell ref="Y13:AA13"/>
    <mergeCell ref="AB9:AF9"/>
    <mergeCell ref="A8:U8"/>
    <mergeCell ref="B66:H66"/>
    <mergeCell ref="B58:H58"/>
    <mergeCell ref="B52:H52"/>
    <mergeCell ref="AB11:AF11"/>
    <mergeCell ref="Y8:AA8"/>
    <mergeCell ref="A10:U10"/>
    <mergeCell ref="V12:X12"/>
    <mergeCell ref="B42:H42"/>
    <mergeCell ref="B60:H60"/>
    <mergeCell ref="A37:G37"/>
    <mergeCell ref="B44:H44"/>
    <mergeCell ref="B53:H53"/>
    <mergeCell ref="V13:X13"/>
    <mergeCell ref="H37:K37"/>
    <mergeCell ref="Y4:AF4"/>
    <mergeCell ref="AB15:AF15"/>
    <mergeCell ref="M5:Q5"/>
    <mergeCell ref="A12:U12"/>
    <mergeCell ref="R3:AC3"/>
    <mergeCell ref="AB16:AF16"/>
    <mergeCell ref="F4:L4"/>
    <mergeCell ref="B54:H54"/>
    <mergeCell ref="Y12:AA12"/>
    <mergeCell ref="B72:H72"/>
    <mergeCell ref="A3:E3"/>
    <mergeCell ref="B56:H56"/>
    <mergeCell ref="B71:H71"/>
    <mergeCell ref="B43:H43"/>
    <mergeCell ref="A4:E4"/>
    <mergeCell ref="B57:H57"/>
    <mergeCell ref="A1:AF2"/>
    <mergeCell ref="AB37:AF37"/>
    <mergeCell ref="Y10:AA10"/>
    <mergeCell ref="B68:H68"/>
    <mergeCell ref="B45:H45"/>
    <mergeCell ref="AE3:AF3"/>
    <mergeCell ref="A6:AF6"/>
    <mergeCell ref="B47:H47"/>
    <mergeCell ref="B62:H62"/>
    <mergeCell ref="B59:H59"/>
    <mergeCell ref="V7:X7"/>
    <mergeCell ref="B46:H46"/>
    <mergeCell ref="R4:X4"/>
    <mergeCell ref="F3:L3"/>
    <mergeCell ref="A5:B5"/>
    <mergeCell ref="O37:Q37"/>
    <mergeCell ref="B70:H70"/>
    <mergeCell ref="B48:H48"/>
    <mergeCell ref="A13:U13"/>
    <mergeCell ref="M3:Q3"/>
    <mergeCell ref="AB8:AF8"/>
    <mergeCell ref="AB10:AF10"/>
    <mergeCell ref="M4:Q4"/>
    <mergeCell ref="A7:U7"/>
    <mergeCell ref="B65:H65"/>
    <mergeCell ref="V9:X9"/>
    <mergeCell ref="Y7:AA7"/>
    <mergeCell ref="B63:H63"/>
    <mergeCell ref="V11:X11"/>
    <mergeCell ref="B50:H50"/>
    <mergeCell ref="C5:L5"/>
    <mergeCell ref="AB12:AF12"/>
    <mergeCell ref="R5:AF5"/>
    <mergeCell ref="A9:U9"/>
    <mergeCell ref="B67:H67"/>
    <mergeCell ref="B61:H61"/>
    <mergeCell ref="AB13:AF13"/>
    <mergeCell ref="AB7:AF7"/>
    <mergeCell ref="A15:AA15"/>
    <mergeCell ref="V8:X8"/>
    <mergeCell ref="Y9:AA9"/>
    <mergeCell ref="A11:U11"/>
    <mergeCell ref="B69:H69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851 22</t>
        </is>
      </c>
      <c r="M5" s="2" t="inlineStr">
        <is>
          <t>Nomenclature:</t>
        </is>
      </c>
      <c r="R5" s="3" t="inlineStr">
        <is>
          <t>VEHICLE STAGING AREA</t>
        </is>
      </c>
    </row>
    <row r="6" ht="28.5" customHeight="1">
      <c r="A6" s="10" t="inlineStr">
        <is>
          <t>SPACE REQUIREMENT ANALYSIS  ,  CCN 851 22  ,  FC 2-000-05N (Series 100, 11 Feb 2026)</t>
        </is>
      </c>
    </row>
    <row r="7" ht="14.5" customHeight="1">
      <c r="A7" s="11" t="inlineStr">
        <is>
          <t>VEHICLE STAGING AREA (Loading driver: Vehicle Staging Area for mount-out operations (SY); FAC 8523; sized by mission scale not by parked-vehicle count; CLB-4 placeholder 5000 SY pending unit doctrine input)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5000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[59]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85122-1: DEFINITION. This category code represents surfaced areas for the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851 21</t>
        </is>
      </c>
      <c r="M5" s="2" t="inlineStr">
        <is>
          <t>Nomenclature:</t>
        </is>
      </c>
      <c r="R5" s="3" t="inlineStr">
        <is>
          <t>VEH. PARK, UNSURFACED</t>
        </is>
      </c>
    </row>
    <row r="6" ht="28.5" customHeight="1">
      <c r="A6" s="10" t="inlineStr">
        <is>
          <t>SPACE REQUIREMENT ANALYSIS  ,  CCN 851 21  ,  FC 2-000-05N (Series 100, 11 Feb 2026)</t>
        </is>
      </c>
    </row>
    <row r="7" ht="14.5" customHeight="1">
      <c r="A7" s="11" t="inlineStr">
        <is>
          <t>VEH. PARK, UNSURFACED (Loading driver: Vehicular Parking Unsurfaced (SY); FAC 8522; calculated using 85210 criteria when used; CLB-4 sets to 0 because primary parking is paved per 85210)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[59]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85121-1: DEFINITION. An unpaved surface for parking and/or staging private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872 10</t>
        </is>
      </c>
      <c r="M5" s="2" t="inlineStr">
        <is>
          <t>Nomenclature:</t>
        </is>
      </c>
      <c r="R5" s="3" t="inlineStr">
        <is>
          <t>SECURTY/PERIMTR FENCE/WALL</t>
        </is>
      </c>
    </row>
    <row r="6" ht="28.5" customHeight="1">
      <c r="A6" s="10" t="inlineStr">
        <is>
          <t>SPACE REQUIREMENT ANALYSIS  ,  CCN 872 10  ,  FC 2-000-05N (Series 100, 11 Feb 2026)</t>
        </is>
      </c>
    </row>
    <row r="7" ht="14.5" customHeight="1">
      <c r="A7" s="11" t="inlineStr">
        <is>
          <t>SECURTY/PERIMTR FENCE/WALL (Loading driver: Station Security and Perimeter Fencing (LF); FAC 8721; standard 7-ft chain link with 1.5-ft outriggers and 3 strands BB; min 50-150 ft from buildings/critical supplies; SRC I/II ammo fence per DoDM 5100.76 + UFC 4-022-03; CLB-4 placeholder 2000 LF pending compound perimeter survey)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LF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2000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7">
        <f>AB16</f>
        <v/>
      </c>
      <c r="O37" s="18" t="inlineStr">
        <is>
          <t>LF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[70, 71, 72]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 xml:space="preserve">  Table 87210-1 (); loading driver: TBD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  Magazines storing SRC I &amp; II A&amp;E | Restricted Areas — as defined in DoDM 5100.76 | Fence fabric shall be chain link, i.e., galvanized, aluminized, or plastic- coated woven steel, 2-inch square mesh made from 9- gauge diameter wire, excluding coating that meets Federal Specification RR-F-191K. | Refer to DoDM 5100.76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 xml:space="preserve">    Non-metallic Security Fence Requirement | Where restrictions of visibility into activity is desired. | Wooden Security fence | Refer to OPNAVINST 5530.14E</t>
        </is>
      </c>
      <c r="C46" s="21" t="n"/>
      <c r="D46" s="21" t="n"/>
      <c r="E46" s="21" t="n"/>
      <c r="F46" s="21" t="n"/>
      <c r="G46" s="21" t="n"/>
      <c r="H46" s="22" t="n"/>
    </row>
    <row r="47" ht="18" customHeight="1">
      <c r="B47" s="23" t="inlineStr">
        <is>
          <t xml:space="preserve">    At radio direction-finder structures. | Wooden Security fence</t>
        </is>
      </c>
      <c r="C47" s="21" t="n"/>
      <c r="D47" s="21" t="n"/>
      <c r="E47" s="21" t="n"/>
      <c r="F47" s="21" t="n"/>
      <c r="G47" s="21" t="n"/>
      <c r="H47" s="22" t="n"/>
    </row>
    <row r="48" ht="18" customHeight="1">
      <c r="B48" s="23" t="inlineStr">
        <is>
          <t xml:space="preserve">    Where chain link materials are not available. | Wooden Security fence</t>
        </is>
      </c>
      <c r="C48" s="21" t="n"/>
      <c r="D48" s="21" t="n"/>
      <c r="E48" s="21" t="n"/>
      <c r="F48" s="21" t="n"/>
      <c r="G48" s="21" t="n"/>
      <c r="H48" s="22" t="n"/>
    </row>
    <row r="49" ht="18" customHeight="1">
      <c r="B49" s="23" t="inlineStr">
        <is>
          <t xml:space="preserve">    Protection of sports facilities, users and spectators | Athletic courts. | Chain link. | 10-12 | --</t>
        </is>
      </c>
      <c r="C49" s="21" t="n"/>
      <c r="D49" s="21" t="n"/>
      <c r="E49" s="21" t="n"/>
      <c r="F49" s="21" t="n"/>
      <c r="G49" s="21" t="n"/>
      <c r="H49" s="22" t="n"/>
    </row>
    <row r="50" ht="18" customHeight="1">
      <c r="B50" s="23" t="inlineStr">
        <is>
          <t xml:space="preserve">    Swimming pools. | Chain link or decorative wood. | 6 | --</t>
        </is>
      </c>
      <c r="C50" s="21" t="n"/>
      <c r="D50" s="21" t="n"/>
      <c r="E50" s="21" t="n"/>
      <c r="F50" s="21" t="n"/>
      <c r="G50" s="21" t="n"/>
      <c r="H50" s="22" t="n"/>
    </row>
    <row r="51" ht="18" customHeight="1">
      <c r="B51" s="23" t="inlineStr">
        <is>
          <t xml:space="preserve">    Playgrounds. | Chain link or decorative wood. | 5 | --</t>
        </is>
      </c>
      <c r="C51" s="21" t="n"/>
      <c r="D51" s="21" t="n"/>
      <c r="E51" s="21" t="n"/>
      <c r="F51" s="21" t="n"/>
      <c r="G51" s="21" t="n"/>
      <c r="H51" s="22" t="n"/>
    </row>
    <row r="52" ht="18" customHeight="1">
      <c r="B52" s="23" t="inlineStr">
        <is>
          <t xml:space="preserve">    Snow fencing | Where drifting snow is a problem. | Picket interwoven with wire- studded metal posts | 4 | --</t>
        </is>
      </c>
      <c r="C52" s="21" t="n"/>
      <c r="D52" s="21" t="n"/>
      <c r="E52" s="21" t="n"/>
      <c r="F52" s="21" t="n"/>
      <c r="G52" s="21" t="n"/>
      <c r="H52" s="22" t="n"/>
    </row>
    <row r="53" ht="18" customHeight="1">
      <c r="B53" s="23" t="inlineStr">
        <is>
          <t xml:space="preserve">    ... and 12 more rows; see audit/PLANNING_FACTORS.yaml CCN 87210</t>
        </is>
      </c>
      <c r="C53" s="21" t="n"/>
      <c r="D53" s="21" t="n"/>
      <c r="E53" s="21" t="n"/>
      <c r="F53" s="21" t="n"/>
      <c r="G53" s="21" t="n"/>
      <c r="H53" s="22" t="n"/>
    </row>
    <row r="54" ht="18" customHeight="1">
      <c r="B54" s="23" t="inlineStr">
        <is>
          <t xml:space="preserve">  page_72_table_2 (); loading driver: TBD</t>
        </is>
      </c>
      <c r="C54" s="21" t="n"/>
      <c r="D54" s="21" t="n"/>
      <c r="E54" s="21" t="n"/>
      <c r="F54" s="21" t="n"/>
      <c r="G54" s="21" t="n"/>
      <c r="H54" s="22" t="n"/>
    </row>
  </sheetData>
  <mergeCells count="67">
    <mergeCell ref="V10:X10"/>
    <mergeCell ref="Y11:AA11"/>
    <mergeCell ref="Y4:AF4"/>
    <mergeCell ref="B40:H40"/>
    <mergeCell ref="Y10:AA10"/>
    <mergeCell ref="A7:U7"/>
    <mergeCell ref="AB15:AF15"/>
    <mergeCell ref="V9:X9"/>
    <mergeCell ref="B49:H49"/>
    <mergeCell ref="A16:AA16"/>
    <mergeCell ref="H37:K37"/>
    <mergeCell ref="M5:Q5"/>
    <mergeCell ref="B51:H51"/>
    <mergeCell ref="Y7:AA7"/>
    <mergeCell ref="B45:H45"/>
    <mergeCell ref="V11:X11"/>
    <mergeCell ref="A12:U12"/>
    <mergeCell ref="AE3:AF3"/>
    <mergeCell ref="B50:H50"/>
    <mergeCell ref="B41:H41"/>
    <mergeCell ref="R3:AC3"/>
    <mergeCell ref="Y13:AA13"/>
    <mergeCell ref="A6:AF6"/>
    <mergeCell ref="F4:L4"/>
    <mergeCell ref="AB16:AF16"/>
    <mergeCell ref="B47:H47"/>
    <mergeCell ref="B54:H54"/>
    <mergeCell ref="Y12:AA12"/>
    <mergeCell ref="AB9:AF9"/>
    <mergeCell ref="V7:X7"/>
    <mergeCell ref="A8:U8"/>
    <mergeCell ref="A3:E3"/>
    <mergeCell ref="B46:H46"/>
    <mergeCell ref="C5:L5"/>
    <mergeCell ref="AB12:AF12"/>
    <mergeCell ref="B52:H5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B48:H48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B53:H53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872 50</t>
        </is>
      </c>
      <c r="M5" s="2" t="inlineStr">
        <is>
          <t>Nomenclature:</t>
        </is>
      </c>
      <c r="R5" s="3" t="inlineStr">
        <is>
          <t>ENTRY GATE</t>
        </is>
      </c>
    </row>
    <row r="6" ht="28.5" customHeight="1">
      <c r="A6" s="10" t="inlineStr">
        <is>
          <t>SPACE REQUIREMENT ANALYSIS  ,  CCN 872 50  ,  FC 2-000-05N (Series 100, 11 Feb 2026)</t>
        </is>
      </c>
    </row>
    <row r="7" ht="14.5" customHeight="1">
      <c r="A7" s="11" t="inlineStr">
        <is>
          <t>ENTRY GATE (Loading driver: Entry Gate (LF); FAC 8721; CCN added Jan 2024; CLB-4 default 30 LF for 1-2 main gates pending site survey)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LF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30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7">
        <f>AB16</f>
        <v/>
      </c>
      <c r="O37" s="18" t="inlineStr">
        <is>
          <t>LF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[73]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87250-1: ENTRY GATE. An entry gate is the frame, gate, or other apparatus that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872 30</t>
        </is>
      </c>
      <c r="M5" s="2" t="inlineStr">
        <is>
          <t>Nomenclature:</t>
        </is>
      </c>
      <c r="R5" s="3" t="inlineStr">
        <is>
          <t>MECH SEC BARRICADE</t>
        </is>
      </c>
    </row>
    <row r="6" ht="28.5" customHeight="1">
      <c r="A6" s="10" t="inlineStr">
        <is>
          <t>SPACE REQUIREMENT ANALYSIS  ,  CCN 872 30  ,  FC 2-000-05N (Series 100, 11 Feb 2026)</t>
        </is>
      </c>
    </row>
    <row r="7" ht="14.5" customHeight="1">
      <c r="A7" s="11" t="inlineStr">
        <is>
          <t>MECH SEC BARRICADE (Loading driver: Mechanical Security Barricade (EA); FAC 1458; drop arm barriers at gates; CLB-4 default 2 EA (one per gate))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EA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2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8">
        <f>AB16</f>
        <v/>
      </c>
      <c r="O37" s="18" t="inlineStr">
        <is>
          <t>EA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[73]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2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87230-1: DEFINITION. Mechanically operated barricade consisting of pop-up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831 43</t>
        </is>
      </c>
      <c r="M5" s="2" t="inlineStr">
        <is>
          <t>Nomenclature:</t>
        </is>
      </c>
      <c r="R5" s="3" t="inlineStr">
        <is>
          <t>HAZ WASTE BLDG</t>
        </is>
      </c>
    </row>
    <row r="6" ht="28.5" customHeight="1">
      <c r="A6" s="10" t="inlineStr">
        <is>
          <t>SPACE REQUIREMENT ANALYSIS  ,  CCN 831 43  ,  FC 2-000-05N (Series 100, 11 Feb 2026)</t>
        </is>
      </c>
    </row>
    <row r="7" ht="14.5" customHeight="1">
      <c r="A7" s="11" t="inlineStr">
        <is>
          <t>HAZ WASTE BLDG (Loading driver: Hazardous Waste Storage Building (SF); FAC 4423; 150-meter buffer from inhabited areas, ammo, or POL stores; short-term &lt;90 days vs long-term &gt;90 days; CLB-4 placeholder 400 SF for unit HAZMAT point)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400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[42]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83143-1: DEFINITION. Use this category code for facilities that are buildings used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831 41</t>
        </is>
      </c>
      <c r="M5" s="2" t="inlineStr">
        <is>
          <t>Nomenclature:</t>
        </is>
      </c>
      <c r="R5" s="3" t="inlineStr">
        <is>
          <t>HAZARD WSTE STOR &amp; TRANSFR</t>
        </is>
      </c>
    </row>
    <row r="6" ht="28.5" customHeight="1">
      <c r="A6" s="10" t="inlineStr">
        <is>
          <t>SPACE REQUIREMENT ANALYSIS  ,  CCN 831 41  ,  FC 2-000-05N (Series 100, 11 Feb 2026)</t>
        </is>
      </c>
    </row>
    <row r="7" ht="14.5" customHeight="1">
      <c r="A7" s="11" t="inlineStr">
        <is>
          <t>HAZARD WSTE STOR &amp; TRANSFR (Loading driver: Hazardous Waste Storage and Transfer Facility (EA); FAC 8926; non-building structures; same 150-meter buffer rule; CLB-4 default 1 EA)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GSF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1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17">
        <f>AB16</f>
        <v/>
      </c>
      <c r="O37" s="18" t="inlineStr">
        <is>
          <t>GSF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[40]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3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83141-1: DEFINITION. Use this category code for facilities that are structures (non-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811 60</t>
        </is>
      </c>
      <c r="M5" s="2" t="inlineStr">
        <is>
          <t>Nomenclature:</t>
        </is>
      </c>
      <c r="R5" s="3" t="inlineStr">
        <is>
          <t>STANDBY GENERATOR PLANT</t>
        </is>
      </c>
    </row>
    <row r="6" ht="28.5" customHeight="1">
      <c r="A6" s="10" t="inlineStr">
        <is>
          <t>SPACE REQUIREMENT ANALYSIS  ,  CCN 811 60  ,  FC 2-000-05N (Series 100, 11 Feb 2026)</t>
        </is>
      </c>
    </row>
    <row r="7" ht="14.5" customHeight="1">
      <c r="A7" s="11" t="inlineStr">
        <is>
          <t>STANDBY GENERATOR PLANT (Loading driver: Standby Generator Plant (KW); FAC 8112; mission-essential standby power; CLB-4 placeholder 150 KW pending engineering load study)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KW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150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9">
        <f>AB16</f>
        <v/>
      </c>
      <c r="O37" s="18" t="inlineStr">
        <is>
          <t>KW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[17]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81160-1: DEFINITION. Standby generator plants include all necessary equipment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>UoM source: CCN_VOCABULARY.json (Appendix A 2019-06-27); Series PDF heading omitted UoM, ratifier should verify against current Series text</t>
        </is>
      </c>
      <c r="C46" s="21" t="n"/>
      <c r="D46" s="21" t="n"/>
      <c r="E46" s="21" t="n"/>
      <c r="F46" s="21" t="n"/>
      <c r="G46" s="21" t="n"/>
      <c r="H46" s="22" t="n"/>
    </row>
  </sheetData>
  <mergeCells count="59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B46:H46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880 10</t>
        </is>
      </c>
      <c r="M5" s="2" t="inlineStr">
        <is>
          <t>Nomenclature:</t>
        </is>
      </c>
      <c r="R5" s="3" t="inlineStr">
        <is>
          <t>FIRE ALARM COMM LINES</t>
        </is>
      </c>
    </row>
    <row r="6" ht="28.5" customHeight="1">
      <c r="A6" s="10" t="inlineStr">
        <is>
          <t>SPACE REQUIREMENT ANALYSIS  ,  CCN 880 10  ,  FC 2-000-05N (Series 100, 11 Feb 2026)</t>
        </is>
      </c>
    </row>
    <row r="7" ht="14.5" customHeight="1">
      <c r="A7" s="11" t="inlineStr">
        <is>
          <t>FIRE ALARM COMM LINES (Loading driver: Fire Alarm System (MI); FAC 1351; linear miles of fire-alarm wiring across CLB-4 compound; placeholder 1 MI pending site survey)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MI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1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30">
        <f>AB16</f>
        <v/>
      </c>
      <c r="O37" s="18" t="inlineStr">
        <is>
          <t>MI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[74]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3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88010-1: FIRE ALARM SYSTEM. Fire alarm systems are of two general types: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>UoM source: CCN_VOCABULARY.json (Appendix A 2019-06-27); Series PDF heading omitted UoM, ratifier should verify against current Series text</t>
        </is>
      </c>
      <c r="C46" s="21" t="n"/>
      <c r="D46" s="21" t="n"/>
      <c r="E46" s="21" t="n"/>
      <c r="F46" s="21" t="n"/>
      <c r="G46" s="21" t="n"/>
      <c r="H46" s="22" t="n"/>
    </row>
  </sheetData>
  <mergeCells count="59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B46:H46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852 35</t>
        </is>
      </c>
      <c r="M5" s="2" t="inlineStr">
        <is>
          <t>Nomenclature:</t>
        </is>
      </c>
      <c r="R5" s="3" t="inlineStr">
        <is>
          <t>OTHER PAVED AREA</t>
        </is>
      </c>
    </row>
    <row r="6" ht="28.5" customHeight="1">
      <c r="A6" s="10" t="inlineStr">
        <is>
          <t>SPACE REQUIREMENT ANALYSIS  ,  CCN 852 35  ,  FC 2-000-05N (Series 100, 11 Feb 2026)</t>
        </is>
      </c>
    </row>
    <row r="7" ht="14.5" customHeight="1">
      <c r="A7" s="11" t="inlineStr">
        <is>
          <t>OTHER PAVED AREA (Loading driver: Other Paved Areas Not in 100/400 Series (SY); FAC 8526; miscellaneous hardstand; CLB-4 placeholder 1000 SY)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1000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[9, 64]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>Engineering-study CCN per NAVFAC doctrine; 1 narrative section(s) captured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e.g. 85235-1: OTHER PAVED AREAS NOT CODED IN THE 100 OR 400 SERIES.</t>
        </is>
      </c>
      <c r="C45" s="21" t="n"/>
      <c r="D45" s="21" t="n"/>
      <c r="E45" s="21" t="n"/>
      <c r="F45" s="21" t="n"/>
      <c r="G45" s="21" t="n"/>
      <c r="H45" s="22" t="n"/>
    </row>
  </sheetData>
  <mergeCells count="58">
    <mergeCell ref="V10:X10"/>
    <mergeCell ref="Y11:AA11"/>
    <mergeCell ref="Y4:AF4"/>
    <mergeCell ref="B40:H40"/>
    <mergeCell ref="Y10:AA10"/>
    <mergeCell ref="A7:U7"/>
    <mergeCell ref="AB15:AF15"/>
    <mergeCell ref="V9:X9"/>
    <mergeCell ref="A16:AA16"/>
    <mergeCell ref="H37:K37"/>
    <mergeCell ref="M5:Q5"/>
    <mergeCell ref="Y7:AA7"/>
    <mergeCell ref="B45:H45"/>
    <mergeCell ref="V11:X11"/>
    <mergeCell ref="A12:U12"/>
    <mergeCell ref="AE3:AF3"/>
    <mergeCell ref="B41:H41"/>
    <mergeCell ref="R3:AC3"/>
    <mergeCell ref="Y13:AA13"/>
    <mergeCell ref="A6:AF6"/>
    <mergeCell ref="F4:L4"/>
    <mergeCell ref="AB16:AF16"/>
    <mergeCell ref="Y12:AA12"/>
    <mergeCell ref="AB9:AF9"/>
    <mergeCell ref="V7:X7"/>
    <mergeCell ref="A8:U8"/>
    <mergeCell ref="A3:E3"/>
    <mergeCell ref="C5:L5"/>
    <mergeCell ref="AB12:AF1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M3:Q3"/>
    <mergeCell ref="A9:U9"/>
    <mergeCell ref="AB8:AF8"/>
    <mergeCell ref="A37:G37"/>
    <mergeCell ref="A4:E4"/>
    <mergeCell ref="AB13:AF13"/>
    <mergeCell ref="AB7:AF7"/>
    <mergeCell ref="A15:AA15"/>
    <mergeCell ref="A1:AF2"/>
    <mergeCell ref="B44:H44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selection activeCell="A1" sqref="A1"/>
    </sheetView>
  </sheetViews>
  <sheetFormatPr baseColWidth="8" defaultRowHeight="15"/>
  <cols>
    <col width="2.816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hidden="1" width="9.18" customWidth="1" min="33" max="33"/>
    <col hidden="1" width="9.18" customWidth="1" min="34" max="34"/>
  </cols>
  <sheetData>
    <row r="1" ht="15.75" customHeight="1">
      <c r="A1" s="1" t="inlineStr">
        <is>
          <t>BASIC FACILITY REQUIREMENTS WORKSHEET</t>
        </is>
      </c>
    </row>
    <row r="2" ht="15.75" customHeight="1"/>
    <row r="3" ht="30.75" customHeight="1">
      <c r="A3" s="2" t="inlineStr">
        <is>
          <t>Installation:</t>
        </is>
      </c>
      <c r="F3" s="3" t="inlineStr">
        <is>
          <t>MCB CAMP BUTLER</t>
        </is>
      </c>
      <c r="M3" s="2" t="inlineStr">
        <is>
          <t>Tenant:</t>
        </is>
      </c>
      <c r="R3" s="3" t="inlineStr">
        <is>
          <t>CLB 4</t>
        </is>
      </c>
    </row>
    <row r="4" ht="14.5" customHeight="1">
      <c r="A4" s="2" t="inlineStr">
        <is>
          <t>Installation UIC:</t>
        </is>
      </c>
      <c r="F4" s="3" t="inlineStr">
        <is>
          <t>M67400</t>
        </is>
      </c>
      <c r="M4" s="2" t="inlineStr">
        <is>
          <t>Tenant UIC:</t>
        </is>
      </c>
      <c r="R4" s="3" t="inlineStr">
        <is>
          <t>M29030</t>
        </is>
      </c>
      <c r="Y4" s="2" t="inlineStr">
        <is>
          <t>Planning Area: SW</t>
        </is>
      </c>
    </row>
    <row r="5" ht="15.75" customHeight="1">
      <c r="A5" s="2" t="inlineStr">
        <is>
          <t>CCN:</t>
        </is>
      </c>
      <c r="C5" s="3" t="inlineStr">
        <is>
          <t>852 40</t>
        </is>
      </c>
      <c r="M5" s="2" t="inlineStr">
        <is>
          <t>Nomenclature:</t>
        </is>
      </c>
      <c r="R5" s="3" t="inlineStr">
        <is>
          <t>MISC OPEN STRG/LAYDOWN</t>
        </is>
      </c>
    </row>
    <row r="6" ht="28.5" customHeight="1">
      <c r="A6" s="10" t="inlineStr">
        <is>
          <t>SPACE REQUIREMENT ANALYSIS  ,  CCN 852 40  ,  FC 2-000-05N (Series 100, 11 Feb 2026)</t>
        </is>
      </c>
    </row>
    <row r="7" ht="14.5" customHeight="1">
      <c r="A7" s="11" t="inlineStr">
        <is>
          <t>MISC OPEN STRG/LAYDOWN (Loading driver: Misc Open Storage/Laydown Area Paved (SY); FAC 8526; PW open storage allowances per Table 85240-1; CLB-4 placeholder 2000 SY pending shop-type breakdown)</t>
        </is>
      </c>
      <c r="V7" s="4" t="inlineStr">
        <is>
          <t>Factor</t>
        </is>
      </c>
      <c r="Y7" s="4" t="inlineStr">
        <is>
          <t>Count</t>
        </is>
      </c>
      <c r="AB7" s="4" t="inlineStr">
        <is>
          <t>GSY</t>
        </is>
      </c>
    </row>
    <row r="8" ht="12.75" customHeight="1">
      <c r="A8" s="12" t="inlineStr">
        <is>
          <t>Primary loading row</t>
        </is>
      </c>
      <c r="V8" s="13" t="n">
        <v>1</v>
      </c>
      <c r="Y8" s="13" t="n">
        <v>2000</v>
      </c>
      <c r="AB8" s="14">
        <f>V8*Y8*1.0</f>
        <v/>
      </c>
    </row>
    <row r="9" ht="12.75" customHeight="1">
      <c r="A9" s="12" t="inlineStr"/>
      <c r="V9" s="13" t="inlineStr"/>
      <c r="Y9" s="13" t="inlineStr"/>
      <c r="AB9" s="14">
        <f>V9*Y9*1.0</f>
        <v/>
      </c>
    </row>
    <row r="10" ht="12.75" customHeight="1">
      <c r="A10" s="12" t="inlineStr"/>
      <c r="V10" s="13" t="inlineStr"/>
      <c r="Y10" s="13" t="inlineStr"/>
      <c r="AB10" s="14">
        <f>V10*Y10*1.0</f>
        <v/>
      </c>
    </row>
    <row r="11" ht="12.75" customHeight="1">
      <c r="A11" s="12" t="inlineStr"/>
      <c r="V11" s="13" t="inlineStr"/>
      <c r="Y11" s="13" t="inlineStr"/>
      <c r="AB11" s="14">
        <f>V11*Y11*1.0</f>
        <v/>
      </c>
    </row>
    <row r="12" ht="12.75" customHeight="1">
      <c r="A12" s="12" t="inlineStr"/>
      <c r="V12" s="13" t="inlineStr"/>
      <c r="Y12" s="13" t="inlineStr"/>
      <c r="AB12" s="14">
        <f>V12*Y12*1.0</f>
        <v/>
      </c>
    </row>
    <row r="13" ht="12.75" customHeight="1">
      <c r="A13" s="12" t="inlineStr"/>
      <c r="V13" s="13" t="inlineStr"/>
      <c r="Y13" s="13" t="inlineStr"/>
      <c r="AB13" s="14">
        <f>V13*Y13*1.0</f>
        <v/>
      </c>
    </row>
    <row r="14" ht="15.75" customHeight="1"/>
    <row r="15" ht="15.75" customHeight="1">
      <c r="A15" s="15" t="inlineStr">
        <is>
          <t>Subtotal NSF</t>
        </is>
      </c>
      <c r="AB15" s="14">
        <f>SUM(AB8:AF13)</f>
        <v/>
      </c>
    </row>
    <row r="16" ht="15.75" customHeight="1">
      <c r="A16" s="15" t="inlineStr">
        <is>
          <t>Net to Gross multiplier (NTG = 1.0)</t>
        </is>
      </c>
      <c r="AB16" s="14">
        <f>AB15*1</f>
        <v/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2.75" customHeight="1">
      <c r="A37" s="16" t="inlineStr">
        <is>
          <t>TOTAL REQUIREMENT:</t>
        </is>
      </c>
      <c r="H37" s="26">
        <f>AB16</f>
        <v/>
      </c>
      <c r="O37" s="18" t="inlineStr">
        <is>
          <t>GSY</t>
        </is>
      </c>
      <c r="AB37" s="19" t="inlineStr"/>
    </row>
    <row r="40">
      <c r="B40" s="20" t="inlineStr">
        <is>
          <t>FC 2-000-05N Citation (Apex Omega Sec.5.5)</t>
        </is>
      </c>
      <c r="C40" s="21" t="n"/>
      <c r="D40" s="21" t="n"/>
      <c r="E40" s="21" t="n"/>
      <c r="F40" s="21" t="n"/>
      <c r="G40" s="21" t="n"/>
      <c r="H40" s="22" t="n"/>
    </row>
    <row r="41" ht="18" customHeight="1">
      <c r="B41" s="23" t="inlineStr">
        <is>
          <t>FC 2-000-05N 800 Series; version date 2025-03-31</t>
        </is>
      </c>
      <c r="C41" s="21" t="n"/>
      <c r="D41" s="21" t="n"/>
      <c r="E41" s="21" t="n"/>
      <c r="F41" s="21" t="n"/>
      <c r="G41" s="21" t="n"/>
      <c r="H41" s="22" t="n"/>
    </row>
    <row r="42" ht="18" customHeight="1">
      <c r="B42" s="23" t="inlineStr">
        <is>
          <t>Source PDF: fc_2_000_05n_800series_03_31_2025.pdf</t>
        </is>
      </c>
      <c r="C42" s="21" t="n"/>
      <c r="D42" s="21" t="n"/>
      <c r="E42" s="21" t="n"/>
      <c r="F42" s="21" t="n"/>
      <c r="G42" s="21" t="n"/>
      <c r="H42" s="22" t="n"/>
    </row>
    <row r="43" ht="18" customHeight="1">
      <c r="B43" s="23" t="inlineStr">
        <is>
          <t>Pages: [9, 10, 11, 12, 65]</t>
        </is>
      </c>
      <c r="C43" s="21" t="n"/>
      <c r="D43" s="21" t="n"/>
      <c r="E43" s="21" t="n"/>
      <c r="F43" s="21" t="n"/>
      <c r="G43" s="21" t="n"/>
      <c r="H43" s="22" t="n"/>
    </row>
    <row r="44" ht="18" customHeight="1">
      <c r="B44" s="23" t="inlineStr">
        <is>
          <t xml:space="preserve">  page_12_table_1 (); loading driver: TBD</t>
        </is>
      </c>
      <c r="C44" s="21" t="n"/>
      <c r="D44" s="21" t="n"/>
      <c r="E44" s="21" t="n"/>
      <c r="F44" s="21" t="n"/>
      <c r="G44" s="21" t="n"/>
      <c r="H44" s="22" t="n"/>
    </row>
    <row r="45" ht="18" customHeight="1">
      <c r="B45" s="23" t="inlineStr">
        <is>
          <t xml:space="preserve">    130 | Communication &amp; Navigational Aid | SF | 13, 5</t>
        </is>
      </c>
      <c r="C45" s="21" t="n"/>
      <c r="D45" s="21" t="n"/>
      <c r="E45" s="21" t="n"/>
      <c r="F45" s="21" t="n"/>
      <c r="G45" s="21" t="n"/>
      <c r="H45" s="22" t="n"/>
    </row>
    <row r="46" ht="18" customHeight="1">
      <c r="B46" s="23" t="inlineStr">
        <is>
          <t xml:space="preserve">    Airfield Lighting | LF | 6</t>
        </is>
      </c>
      <c r="C46" s="21" t="n"/>
      <c r="D46" s="21" t="n"/>
      <c r="E46" s="21" t="n"/>
      <c r="F46" s="21" t="n"/>
      <c r="G46" s="21" t="n"/>
      <c r="H46" s="22" t="n"/>
    </row>
    <row r="47" ht="18" customHeight="1">
      <c r="B47" s="23" t="inlineStr">
        <is>
          <t xml:space="preserve">    140 | Land Operations Facilities | SF | 7.5</t>
        </is>
      </c>
      <c r="C47" s="21" t="n"/>
      <c r="D47" s="21" t="n"/>
      <c r="E47" s="21" t="n"/>
      <c r="F47" s="21" t="n"/>
      <c r="G47" s="21" t="n"/>
      <c r="H47" s="22" t="n"/>
    </row>
    <row r="48" ht="18" customHeight="1">
      <c r="B48" s="23" t="inlineStr">
        <is>
          <t xml:space="preserve">    150 | Waterfront Operational Facilities | SF FB | 5 5 x 103</t>
        </is>
      </c>
      <c r="C48" s="21" t="n"/>
      <c r="D48" s="21" t="n"/>
      <c r="E48" s="21" t="n"/>
      <c r="F48" s="21" t="n"/>
      <c r="G48" s="21" t="n"/>
      <c r="H48" s="22" t="n"/>
    </row>
    <row r="49" ht="18" customHeight="1">
      <c r="B49" s="23" t="inlineStr">
        <is>
          <t xml:space="preserve">    170 | Training Facilities | SF | 7.5</t>
        </is>
      </c>
      <c r="C49" s="21" t="n"/>
      <c r="D49" s="21" t="n"/>
      <c r="E49" s="21" t="n"/>
      <c r="F49" s="21" t="n"/>
      <c r="G49" s="21" t="n"/>
      <c r="H49" s="22" t="n"/>
    </row>
    <row r="50" ht="18" customHeight="1">
      <c r="B50" s="23" t="inlineStr">
        <is>
          <t xml:space="preserve">    210 | Maintenance. Shops &amp; Facilities | SF | 7.5</t>
        </is>
      </c>
      <c r="C50" s="21" t="n"/>
      <c r="D50" s="21" t="n"/>
      <c r="E50" s="21" t="n"/>
      <c r="F50" s="21" t="n"/>
      <c r="G50" s="21" t="n"/>
      <c r="H50" s="22" t="n"/>
    </row>
    <row r="51" ht="18" customHeight="1">
      <c r="B51" s="23" t="inlineStr">
        <is>
          <t xml:space="preserve">    220 | Production Buildings. &amp; Plants | SF | 7.5</t>
        </is>
      </c>
      <c r="C51" s="21" t="n"/>
      <c r="D51" s="21" t="n"/>
      <c r="E51" s="21" t="n"/>
      <c r="F51" s="21" t="n"/>
      <c r="G51" s="21" t="n"/>
      <c r="H51" s="22" t="n"/>
    </row>
    <row r="52" ht="18" customHeight="1">
      <c r="B52" s="23" t="inlineStr">
        <is>
          <t xml:space="preserve">    310 | Research, Development &amp; Test Bldg. | SF | 7.5</t>
        </is>
      </c>
      <c r="C52" s="21" t="n"/>
      <c r="D52" s="21" t="n"/>
      <c r="E52" s="21" t="n"/>
      <c r="F52" s="21" t="n"/>
      <c r="G52" s="21" t="n"/>
      <c r="H52" s="22" t="n"/>
    </row>
    <row r="53" ht="18" customHeight="1">
      <c r="B53" s="23" t="inlineStr">
        <is>
          <t xml:space="preserve">    ... and 9 more rows; see audit/PLANNING_FACTORS.yaml CCN 85240</t>
        </is>
      </c>
      <c r="C53" s="21" t="n"/>
      <c r="D53" s="21" t="n"/>
      <c r="E53" s="21" t="n"/>
      <c r="F53" s="21" t="n"/>
      <c r="G53" s="21" t="n"/>
      <c r="H53" s="22" t="n"/>
    </row>
    <row r="54" ht="18" customHeight="1">
      <c r="B54" s="23" t="inlineStr">
        <is>
          <t xml:space="preserve">  page_12_table_2 (); loading driver: TBD</t>
        </is>
      </c>
      <c r="C54" s="21" t="n"/>
      <c r="D54" s="21" t="n"/>
      <c r="E54" s="21" t="n"/>
      <c r="F54" s="21" t="n"/>
      <c r="G54" s="21" t="n"/>
      <c r="H54" s="22" t="n"/>
    </row>
    <row r="55" ht="18" customHeight="1">
      <c r="B55" s="23" t="inlineStr">
        <is>
          <t xml:space="preserve">  Table 85240-1 (); loading driver: TBD</t>
        </is>
      </c>
      <c r="C55" s="21" t="n"/>
      <c r="D55" s="21" t="n"/>
      <c r="E55" s="21" t="n"/>
      <c r="F55" s="21" t="n"/>
      <c r="G55" s="21" t="n"/>
      <c r="H55" s="22" t="n"/>
    </row>
    <row r="56" ht="18" customHeight="1">
      <c r="B56" s="23" t="inlineStr">
        <is>
          <t xml:space="preserve">    E | 780</t>
        </is>
      </c>
      <c r="C56" s="21" t="n"/>
      <c r="D56" s="21" t="n"/>
      <c r="E56" s="21" t="n"/>
      <c r="F56" s="21" t="n"/>
      <c r="G56" s="21" t="n"/>
      <c r="H56" s="22" t="n"/>
    </row>
    <row r="57" ht="18" customHeight="1">
      <c r="B57" s="23" t="inlineStr">
        <is>
          <t xml:space="preserve">    F | 1,180</t>
        </is>
      </c>
      <c r="C57" s="21" t="n"/>
      <c r="D57" s="21" t="n"/>
      <c r="E57" s="21" t="n"/>
      <c r="F57" s="21" t="n"/>
      <c r="G57" s="21" t="n"/>
      <c r="H57" s="22" t="n"/>
    </row>
  </sheetData>
  <mergeCells count="70">
    <mergeCell ref="V10:X10"/>
    <mergeCell ref="Y11:AA11"/>
    <mergeCell ref="Y4:AF4"/>
    <mergeCell ref="B40:H40"/>
    <mergeCell ref="Y10:AA10"/>
    <mergeCell ref="A7:U7"/>
    <mergeCell ref="AB15:AF15"/>
    <mergeCell ref="V9:X9"/>
    <mergeCell ref="B49:H49"/>
    <mergeCell ref="A16:AA16"/>
    <mergeCell ref="H37:K37"/>
    <mergeCell ref="B55:H55"/>
    <mergeCell ref="M5:Q5"/>
    <mergeCell ref="B51:H51"/>
    <mergeCell ref="Y7:AA7"/>
    <mergeCell ref="B45:H45"/>
    <mergeCell ref="V11:X11"/>
    <mergeCell ref="A12:U12"/>
    <mergeCell ref="AE3:AF3"/>
    <mergeCell ref="B50:H50"/>
    <mergeCell ref="B41:H41"/>
    <mergeCell ref="R3:AC3"/>
    <mergeCell ref="Y13:AA13"/>
    <mergeCell ref="A6:AF6"/>
    <mergeCell ref="F4:L4"/>
    <mergeCell ref="AB16:AF16"/>
    <mergeCell ref="B47:H47"/>
    <mergeCell ref="B54:H54"/>
    <mergeCell ref="Y12:AA12"/>
    <mergeCell ref="AB9:AF9"/>
    <mergeCell ref="V7:X7"/>
    <mergeCell ref="A8:U8"/>
    <mergeCell ref="A3:E3"/>
    <mergeCell ref="B46:H46"/>
    <mergeCell ref="C5:L5"/>
    <mergeCell ref="AB12:AF12"/>
    <mergeCell ref="B56:H56"/>
    <mergeCell ref="B52:H52"/>
    <mergeCell ref="R4:X4"/>
    <mergeCell ref="AB11:AF11"/>
    <mergeCell ref="B43:H43"/>
    <mergeCell ref="F3:L3"/>
    <mergeCell ref="A5:B5"/>
    <mergeCell ref="Y8:AA8"/>
    <mergeCell ref="A10:U10"/>
    <mergeCell ref="V12:X12"/>
    <mergeCell ref="O37:Q37"/>
    <mergeCell ref="R5:AF5"/>
    <mergeCell ref="A13:U13"/>
    <mergeCell ref="B42:H42"/>
    <mergeCell ref="B48:H48"/>
    <mergeCell ref="M3:Q3"/>
    <mergeCell ref="A9:U9"/>
    <mergeCell ref="AB8:AF8"/>
    <mergeCell ref="A37:G37"/>
    <mergeCell ref="A4:E4"/>
    <mergeCell ref="AB13:AF13"/>
    <mergeCell ref="AB7:AF7"/>
    <mergeCell ref="B57:H57"/>
    <mergeCell ref="A15:AA15"/>
    <mergeCell ref="A1:AF2"/>
    <mergeCell ref="B44:H44"/>
    <mergeCell ref="B53:H53"/>
    <mergeCell ref="V8:X8"/>
    <mergeCell ref="Y9:AA9"/>
    <mergeCell ref="A11:U11"/>
    <mergeCell ref="AB10:AF10"/>
    <mergeCell ref="V13:X13"/>
    <mergeCell ref="AB37:AF37"/>
    <mergeCell ref="M4:Q4"/>
  </mergeCells>
  <printOptions horizontalCentered="0" verticalCentered="0"/>
  <pageMargins left="0.75" right="0.5" top="0.75" bottom="0.5" header="0" footer="0.3"/>
  <pageSetup orientation="portrait" scale="84"/>
  <headerFooter>
    <oddHeader/>
    <oddFooter>&amp;L_x000d_# DISTRIBUTION: DoD COMMUNITY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2026-04-30T04:45:13Z</dcterms:created>
  <dcterms:modified xsi:type="dcterms:W3CDTF">2026-04-30T04:45:14Z</dcterms:modified>
</cp:coreProperties>
</file>