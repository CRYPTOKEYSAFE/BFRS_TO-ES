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ROLLUP" sheetId="1" state="visible" r:id="rId1"/>
    <sheet name="TO" sheetId="2" state="visible" r:id="rId2"/>
    <sheet name="TE" sheetId="3" state="visible" r:id="rId3"/>
    <sheet name="14345" sheetId="4" state="visible" r:id="rId4"/>
    <sheet name="21451" sheetId="5" state="visible" r:id="rId5"/>
    <sheet name="21455" sheetId="6" state="visible" r:id="rId6"/>
    <sheet name="61072" sheetId="7" state="visible" r:id="rId7"/>
    <sheet name="14312" sheetId="8" state="visible" r:id="rId8"/>
    <sheet name="14326" sheetId="9" state="visible" r:id="rId9"/>
    <sheet name="21710" sheetId="10" state="visible" r:id="rId10"/>
    <sheet name="21730" sheetId="11" state="visible" r:id="rId11"/>
    <sheet name="44112" sheetId="12" state="visible" r:id="rId12"/>
    <sheet name="45110" sheetId="13" state="visible" r:id="rId13"/>
  </sheets>
  <definedNames>
    <definedName name="_xlnm.Print_Area" localSheetId="3">'14345'!$A$1:$AF$37</definedName>
    <definedName name="_xlnm.Print_Area" localSheetId="4">'21451'!$A$1:$AF$37</definedName>
    <definedName name="_xlnm.Print_Area" localSheetId="5">'21455'!$A$1:$AF$37</definedName>
    <definedName name="_xlnm.Print_Area" localSheetId="6">'61072'!$A$1:$AF$37</definedName>
    <definedName name="_xlnm.Print_Area" localSheetId="7">'14312'!$A$1:$AF$37</definedName>
    <definedName name="_xlnm.Print_Area" localSheetId="8">'14326'!$A$1:$AF$37</definedName>
    <definedName name="_xlnm.Print_Area" localSheetId="9">'21710'!$A$1:$AF$37</definedName>
    <definedName name="_xlnm.Print_Area" localSheetId="10">'21730'!$A$1:$AF$37</definedName>
    <definedName name="_xlnm.Print_Area" localSheetId="11">'44112'!$A$1:$AF$37</definedName>
    <definedName name="_xlnm.Print_Area" localSheetId="12">'45110'!$A$1:$AF$37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\ &quot;GSF&quot;"/>
    <numFmt numFmtId="165" formatCode="#,##0\ &quot;GSY&quot;"/>
  </numFmts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Arial"/>
      <sz val="10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7C8"/>
      </patternFill>
    </fill>
    <fill>
      <patternFill patternType="solid">
        <fgColor rgb="00D9D9D9"/>
      </patternFill>
    </fill>
    <fill>
      <patternFill patternType="solid">
        <fgColor rgb="00FFF8DC"/>
      </patternFill>
    </fill>
    <fill>
      <patternFill patternType="solid">
        <fgColor rgb="00EAF3F4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0" fillId="0" borderId="2" pivotButton="0" quotePrefix="0" xfId="0"/>
    <xf numFmtId="0" fontId="2" fillId="3" borderId="2" pivotButton="0" quotePrefix="0" xfId="0"/>
    <xf numFmtId="0" fontId="2" fillId="4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right" vertical="center"/>
    </xf>
    <xf numFmtId="164" fontId="5" fillId="3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>
      <c r="A1" s="1" t="inlineStr">
        <is>
          <t>BASIC FACILITY REQUIREMENTS UNIT ROLLUP</t>
        </is>
      </c>
    </row>
    <row r="2"/>
    <row r="3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8">
      <c r="B8" s="4" t="inlineStr">
        <is>
          <t>CCN</t>
        </is>
      </c>
      <c r="C8" s="4" t="inlineStr">
        <is>
          <t>Description</t>
        </is>
      </c>
      <c r="D8" s="4" t="inlineStr">
        <is>
          <t>UM</t>
        </is>
      </c>
      <c r="E8" s="4" t="inlineStr">
        <is>
          <t>Total</t>
        </is>
      </c>
    </row>
    <row r="9">
      <c r="B9" s="5" t="inlineStr">
        <is>
          <t>143 45</t>
        </is>
      </c>
      <c r="C9" s="5" t="inlineStr">
        <is>
          <t>ARMORY</t>
        </is>
      </c>
      <c r="D9" s="5" t="inlineStr">
        <is>
          <t>GSF</t>
        </is>
      </c>
      <c r="E9" s="6">
        <f>'14345'!H37</f>
        <v/>
      </c>
    </row>
    <row r="10">
      <c r="B10" s="5" t="inlineStr">
        <is>
          <t>214 51</t>
        </is>
      </c>
      <c r="C10" s="5" t="inlineStr">
        <is>
          <t>AUTO ORGANIZATIONAL SHOP</t>
        </is>
      </c>
      <c r="D10" s="5" t="inlineStr">
        <is>
          <t>GSF</t>
        </is>
      </c>
      <c r="E10" s="6">
        <f>'21451'!H37</f>
        <v/>
      </c>
    </row>
    <row r="11">
      <c r="B11" s="5" t="inlineStr">
        <is>
          <t>214 55</t>
        </is>
      </c>
      <c r="C11" s="5" t="inlineStr">
        <is>
          <t>VEHICLE WASH PLATFORM</t>
        </is>
      </c>
      <c r="D11" s="5" t="inlineStr">
        <is>
          <t>GSF</t>
        </is>
      </c>
      <c r="E11" s="6">
        <f>'21455'!H37</f>
        <v/>
      </c>
    </row>
    <row r="12">
      <c r="B12" s="5" t="inlineStr">
        <is>
          <t>610 72</t>
        </is>
      </c>
      <c r="C12" s="5" t="inlineStr">
        <is>
          <t>BATTLN SQUADRN HQ (MARCOR)</t>
        </is>
      </c>
      <c r="D12" s="5" t="inlineStr">
        <is>
          <t>GSF</t>
        </is>
      </c>
      <c r="E12" s="6">
        <f>'61072'!H37</f>
        <v/>
      </c>
    </row>
    <row r="13">
      <c r="B13" s="5" t="inlineStr">
        <is>
          <t>143 12</t>
        </is>
      </c>
      <c r="C13" s="5" t="inlineStr">
        <is>
          <t>OPRTNL VEHICLE LAYDWN AREA</t>
        </is>
      </c>
      <c r="D13" s="5" t="inlineStr">
        <is>
          <t>GSY</t>
        </is>
      </c>
      <c r="E13" s="6">
        <f>'14312'!H37</f>
        <v/>
      </c>
    </row>
    <row r="14">
      <c r="B14" s="5" t="inlineStr">
        <is>
          <t>143 26</t>
        </is>
      </c>
      <c r="C14" s="5" t="inlineStr">
        <is>
          <t>MARINE CORPS EOD PLATOON</t>
        </is>
      </c>
      <c r="D14" s="5" t="inlineStr">
        <is>
          <t>GSF</t>
        </is>
      </c>
      <c r="E14" s="6">
        <f>'14326'!H37</f>
        <v/>
      </c>
    </row>
    <row r="15">
      <c r="B15" s="5" t="inlineStr">
        <is>
          <t>217 10</t>
        </is>
      </c>
      <c r="C15" s="5" t="inlineStr">
        <is>
          <t>ELECNX/COMMS MAINT SHOP</t>
        </is>
      </c>
      <c r="D15" s="5" t="inlineStr">
        <is>
          <t>GSF</t>
        </is>
      </c>
      <c r="E15" s="6">
        <f>'21710'!H37</f>
        <v/>
      </c>
    </row>
    <row r="16">
      <c r="B16" s="5" t="inlineStr">
        <is>
          <t>217 30</t>
        </is>
      </c>
      <c r="C16" s="5" t="inlineStr">
        <is>
          <t>FLD MAINT SHOP(ELEC/COMMS)</t>
        </is>
      </c>
      <c r="D16" s="5" t="inlineStr">
        <is>
          <t>GSF</t>
        </is>
      </c>
      <c r="E16" s="6">
        <f>'21730'!H37</f>
        <v/>
      </c>
    </row>
    <row r="17">
      <c r="B17" s="5" t="inlineStr">
        <is>
          <t>441 12</t>
        </is>
      </c>
      <c r="C17" s="5" t="inlineStr">
        <is>
          <t>STG AIR/GRD ORG UTS MARCOR</t>
        </is>
      </c>
      <c r="D17" s="5" t="inlineStr">
        <is>
          <t>GSF</t>
        </is>
      </c>
      <c r="E17" s="6">
        <f>'44112'!H37</f>
        <v/>
      </c>
    </row>
    <row r="18">
      <c r="B18" s="5" t="inlineStr">
        <is>
          <t>451 10</t>
        </is>
      </c>
      <c r="C18" s="5" t="inlineStr">
        <is>
          <t>OPEN STORAGE AREA</t>
        </is>
      </c>
      <c r="D18" s="5" t="inlineStr">
        <is>
          <t>GSY</t>
        </is>
      </c>
      <c r="E18" s="6">
        <f>'45110'!H37</f>
        <v/>
      </c>
    </row>
    <row r="20">
      <c r="B20" s="7" t="inlineStr">
        <is>
          <t>GRAND TOTAL</t>
        </is>
      </c>
      <c r="C20" s="8" t="n"/>
      <c r="D20" s="8" t="n"/>
      <c r="E20" s="9">
        <f>SUM(E9:E18)</f>
        <v/>
      </c>
    </row>
  </sheetData>
  <mergeCells count="10">
    <mergeCell ref="A4:E4"/>
    <mergeCell ref="Y4:AF4"/>
    <mergeCell ref="A1:AF2"/>
    <mergeCell ref="R3:AC3"/>
    <mergeCell ref="R4:X4"/>
    <mergeCell ref="F3:L3"/>
    <mergeCell ref="F4:L4"/>
    <mergeCell ref="M4:Q4"/>
    <mergeCell ref="M3:Q3"/>
    <mergeCell ref="A3:E3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L6"/>
  <sheetViews>
    <sheetView workbookViewId="0">
      <selection activeCell="A1" sqref="A1"/>
    </sheetView>
  </sheetViews>
  <sheetFormatPr baseColWidth="8" defaultRowHeight="15"/>
  <cols>
    <col width="6" customWidth="1" min="2" max="2"/>
    <col width="9" customWidth="1" min="3" max="3"/>
    <col width="9" customWidth="1" min="4" max="4"/>
    <col width="28" customWidth="1" min="5" max="5"/>
    <col width="9" customWidth="1" min="6" max="6"/>
    <col width="7" customWidth="1" min="7" max="7"/>
    <col width="14" customWidth="1" min="8" max="8"/>
    <col width="30" customWidth="1" min="9" max="9"/>
    <col width="11" customWidth="1" min="10" max="10"/>
    <col width="7" customWidth="1" min="11" max="11"/>
    <col width="7" customWidth="1" min="12" max="12"/>
  </cols>
  <sheetData>
    <row r="6" ht="30" customHeight="1">
      <c r="A6" s="4" t="inlineStr"/>
      <c r="B6" s="4" t="inlineStr">
        <is>
          <t>LINE</t>
        </is>
      </c>
      <c r="C6" s="4" t="inlineStr">
        <is>
          <t>NOTE</t>
        </is>
      </c>
      <c r="D6" s="4" t="inlineStr">
        <is>
          <t>CCN</t>
        </is>
      </c>
      <c r="E6" s="4" t="inlineStr">
        <is>
          <t>CCN Description</t>
        </is>
      </c>
      <c r="F6" s="4" t="inlineStr">
        <is>
          <t>UIC</t>
        </is>
      </c>
      <c r="G6" s="4" t="inlineStr">
        <is>
          <t>Rec CD</t>
        </is>
      </c>
      <c r="H6" s="4" t="inlineStr">
        <is>
          <t>BIC</t>
        </is>
      </c>
      <c r="I6" s="4" t="inlineStr">
        <is>
          <t>Billet Description</t>
        </is>
      </c>
      <c r="J6" s="4" t="inlineStr">
        <is>
          <t>Alpha Grade</t>
        </is>
      </c>
      <c r="K6" s="4" t="inlineStr">
        <is>
          <t>BMOS</t>
        </is>
      </c>
      <c r="L6" s="4" t="inlineStr">
        <is>
          <t>PMOS</t>
        </is>
      </c>
    </row>
  </sheetData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U4"/>
  <sheetViews>
    <sheetView workbookViewId="0">
      <selection activeCell="A1" sqref="A1"/>
    </sheetView>
  </sheetViews>
  <sheetFormatPr baseColWidth="8" defaultRowHeight="15"/>
  <sheetData>
    <row r="4" ht="30" customHeight="1">
      <c r="A4" s="4" t="inlineStr"/>
      <c r="B4" s="4" t="inlineStr">
        <is>
          <t>ROW</t>
        </is>
      </c>
      <c r="C4" s="4" t="inlineStr">
        <is>
          <t>NOTE</t>
        </is>
      </c>
      <c r="D4" s="4" t="inlineStr">
        <is>
          <t>CCN</t>
        </is>
      </c>
      <c r="E4" s="4" t="inlineStr">
        <is>
          <t>CCN Description</t>
        </is>
      </c>
      <c r="F4" s="4" t="inlineStr">
        <is>
          <t>CCN 21451 Equipment Type</t>
        </is>
      </c>
      <c r="G4" s="4" t="inlineStr">
        <is>
          <t>UIC</t>
        </is>
      </c>
      <c r="H4" s="4" t="inlineStr">
        <is>
          <t>TAMCN Short</t>
        </is>
      </c>
      <c r="I4" s="4" t="inlineStr">
        <is>
          <t>TAMCN</t>
        </is>
      </c>
      <c r="J4" s="4" t="inlineStr">
        <is>
          <t>Nomenclature</t>
        </is>
      </c>
      <c r="K4" s="4" t="inlineStr">
        <is>
          <t>TAM Stat</t>
        </is>
      </c>
      <c r="L4" s="4" t="inlineStr">
        <is>
          <t>U/I</t>
        </is>
      </c>
      <c r="M4" s="4" t="inlineStr">
        <is>
          <t>Rdy</t>
        </is>
      </c>
      <c r="N4" s="4" t="inlineStr">
        <is>
          <t>Ind Qty</t>
        </is>
      </c>
      <c r="O4" s="4" t="inlineStr">
        <is>
          <t>Org Qty</t>
        </is>
      </c>
      <c r="P4" s="4" t="inlineStr">
        <is>
          <t>Unit T/E</t>
        </is>
      </c>
      <c r="Q4" s="4" t="inlineStr">
        <is>
          <t>L, Ft</t>
        </is>
      </c>
      <c r="R4" s="4" t="inlineStr">
        <is>
          <t>W, Ft</t>
        </is>
      </c>
      <c r="S4" s="4" t="inlineStr">
        <is>
          <t>H, Ft</t>
        </is>
      </c>
      <c r="T4" s="4" t="inlineStr">
        <is>
          <t>Volume Ea</t>
        </is>
      </c>
      <c r="U4" s="4" t="inlineStr">
        <is>
          <t>Volume Total</t>
        </is>
      </c>
    </row>
  </sheetData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143 45</t>
        </is>
      </c>
      <c r="M5" s="2" t="inlineStr">
        <is>
          <t>Nomenclature:</t>
        </is>
      </c>
      <c r="R5" s="3" t="inlineStr">
        <is>
          <t>ARMORY</t>
        </is>
      </c>
    </row>
    <row r="6" ht="28.5" customHeight="1">
      <c r="A6" s="10" t="inlineStr">
        <is>
          <t>SPACE REQUIREMENT ANALYSIS  ,  CCN 143 45  ,  FC 2-000-05N (Series 100, 11 Feb 2026)</t>
        </is>
      </c>
    </row>
    <row r="7" ht="14.5" customHeight="1">
      <c r="A7" s="11" t="inlineStr">
        <is>
          <t>Sensitive Item Category (Primary Items, all four companies)</t>
        </is>
      </c>
      <c r="V7" s="4" t="inlineStr">
        <is>
          <t>GSF / Item</t>
        </is>
      </c>
      <c r="Y7" s="4" t="inlineStr">
        <is>
          <t>Count</t>
        </is>
      </c>
      <c r="AB7" s="4" t="inlineStr">
        <is>
          <t>GSF</t>
        </is>
      </c>
    </row>
    <row r="8" ht="12.75" customHeight="1">
      <c r="A8" s="12" t="inlineStr">
        <is>
          <t>Night Vision Devices (AN/PVS-14, AN/PVS-31D)</t>
        </is>
      </c>
      <c r="V8" s="13" t="n">
        <v>1.25</v>
      </c>
      <c r="Y8" s="13" t="n">
        <v>237</v>
      </c>
      <c r="AB8" s="14">
        <f>V8*Y8</f>
        <v/>
      </c>
    </row>
    <row r="9" ht="12.75" customHeight="1">
      <c r="A9" s="12" t="inlineStr">
        <is>
          <t>Machine Guns (M240B, MK19 MOD 3)</t>
        </is>
      </c>
      <c r="V9" s="13" t="n">
        <v>1.25</v>
      </c>
      <c r="Y9" s="13" t="n">
        <v>14</v>
      </c>
      <c r="AB9" s="14">
        <f>V9*Y9</f>
        <v/>
      </c>
    </row>
    <row r="10" ht="12.75" customHeight="1">
      <c r="A10" s="12" t="inlineStr">
        <is>
          <t>Rifles, Carbines, and Shotguns</t>
        </is>
      </c>
      <c r="V10" s="13" t="n">
        <v>1.25</v>
      </c>
      <c r="Y10" s="13" t="n">
        <v>19</v>
      </c>
      <c r="AB10" s="14">
        <f>V10*Y10</f>
        <v/>
      </c>
    </row>
    <row r="11" ht="12.75" customHeight="1">
      <c r="A11" s="12" t="inlineStr">
        <is>
          <t>Grenade Launchers (M320A1)</t>
        </is>
      </c>
      <c r="V11" s="13" t="n">
        <v>1.25</v>
      </c>
      <c r="Y11" s="13" t="n">
        <v>4</v>
      </c>
      <c r="AB11" s="14">
        <f>V11*Y11</f>
        <v/>
      </c>
    </row>
    <row r="12" ht="12.75" customHeight="1">
      <c r="A12" s="12" t="inlineStr">
        <is>
          <t>Thermal Sights (AN/PAS-13D)</t>
        </is>
      </c>
      <c r="V12" s="13" t="n">
        <v>1.25</v>
      </c>
      <c r="Y12" s="13" t="n">
        <v>4</v>
      </c>
      <c r="AB12" s="14">
        <f>V12*Y12</f>
        <v/>
      </c>
    </row>
    <row r="13" ht="12.75" customHeight="1">
      <c r="A13" s="12" t="inlineStr">
        <is>
          <t>Other Sensitive Items (Optics, Accessories, Spares)</t>
        </is>
      </c>
      <c r="V13" s="13" t="n">
        <v>1.25</v>
      </c>
      <c r="Y13" s="13" t="n">
        <v>52</v>
      </c>
      <c r="AB13" s="14">
        <f>V13*Y13</f>
        <v/>
      </c>
    </row>
    <row r="14" ht="15.75" customHeight="1"/>
    <row r="15" ht="15.75" customHeight="1">
      <c r="A15" s="15" t="inlineStr">
        <is>
          <t>Total Sensitive Items, Total NSF</t>
        </is>
      </c>
      <c r="AB15" s="14">
        <f>SUM(AB8:AB13)</f>
        <v/>
      </c>
    </row>
    <row r="16" ht="15.75" customHeight="1">
      <c r="A16" s="15" t="inlineStr">
        <is>
          <t>Required GSF = ROUNDUP(Total NSF, 0)</t>
        </is>
      </c>
      <c r="AB16" s="14">
        <f>ROUNDUP(AB15,0)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17">
        <f>AB16</f>
        <v/>
      </c>
      <c r="O37" s="18" t="inlineStr">
        <is>
          <t>GSF</t>
        </is>
      </c>
      <c r="AB37" s="19" t="inlineStr"/>
    </row>
  </sheetData>
  <mergeCells count="52">
    <mergeCell ref="V10:X10"/>
    <mergeCell ref="Y11:AA11"/>
    <mergeCell ref="Y4:AF4"/>
    <mergeCell ref="Y10:AA10"/>
    <mergeCell ref="A7:U7"/>
    <mergeCell ref="AB15:AF15"/>
    <mergeCell ref="V9:X9"/>
    <mergeCell ref="A16:AA16"/>
    <mergeCell ref="H37:K37"/>
    <mergeCell ref="M5:Q5"/>
    <mergeCell ref="Y7:AA7"/>
    <mergeCell ref="V11:X11"/>
    <mergeCell ref="A12:U12"/>
    <mergeCell ref="AE3:AF3"/>
    <mergeCell ref="R3:AC3"/>
    <mergeCell ref="Y13:AA13"/>
    <mergeCell ref="A6:AF6"/>
    <mergeCell ref="F4:L4"/>
    <mergeCell ref="AB16:AF16"/>
    <mergeCell ref="Y12:AA12"/>
    <mergeCell ref="AB9:AF9"/>
    <mergeCell ref="V7:X7"/>
    <mergeCell ref="A8:U8"/>
    <mergeCell ref="A3:E3"/>
    <mergeCell ref="C5:L5"/>
    <mergeCell ref="AB12:AF12"/>
    <mergeCell ref="R4:X4"/>
    <mergeCell ref="AB11:AF11"/>
    <mergeCell ref="F3:L3"/>
    <mergeCell ref="A5:B5"/>
    <mergeCell ref="Y8:AA8"/>
    <mergeCell ref="A10:U10"/>
    <mergeCell ref="V12:X12"/>
    <mergeCell ref="O37:Q37"/>
    <mergeCell ref="R5:AF5"/>
    <mergeCell ref="A13:U13"/>
    <mergeCell ref="M3:Q3"/>
    <mergeCell ref="A9:U9"/>
    <mergeCell ref="AB8:AF8"/>
    <mergeCell ref="A37:G37"/>
    <mergeCell ref="A4:E4"/>
    <mergeCell ref="AB13:AF13"/>
    <mergeCell ref="AB7:AF7"/>
    <mergeCell ref="A15:AA15"/>
    <mergeCell ref="A1:AF2"/>
    <mergeCell ref="V8:X8"/>
    <mergeCell ref="Y9:AA9"/>
    <mergeCell ref="A11:U11"/>
    <mergeCell ref="AB10:AF10"/>
    <mergeCell ref="V13:X13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214 51</t>
        </is>
      </c>
      <c r="M5" s="2" t="inlineStr">
        <is>
          <t>Nomenclature:</t>
        </is>
      </c>
      <c r="R5" s="3" t="inlineStr">
        <is>
          <t>AUTO ORGANIZATIONAL SHOP</t>
        </is>
      </c>
    </row>
    <row r="6" ht="28.5" customHeight="1">
      <c r="A6" s="10" t="inlineStr">
        <is>
          <t>SPACE REQUIREMENT ANALYSIS  ,  CCN 214 51  ,  FC 2-000-05N (Series 100, 11 Feb 2026)</t>
        </is>
      </c>
    </row>
    <row r="7" ht="14.5" customHeight="1">
      <c r="A7" s="10" t="inlineStr">
        <is>
          <t>SECTION 1 - ADMINISTRATIVE SPACE</t>
        </is>
      </c>
    </row>
    <row r="8" ht="12.75" customHeight="1">
      <c r="A8" s="20" t="inlineStr">
        <is>
          <t>Personnel Category</t>
        </is>
      </c>
      <c r="V8" s="4" t="inlineStr">
        <is>
          <t>SF / Person</t>
        </is>
      </c>
      <c r="Y8" s="4" t="inlineStr">
        <is>
          <t>Count</t>
        </is>
      </c>
      <c r="AB8" s="4" t="inlineStr">
        <is>
          <t>NSF</t>
        </is>
      </c>
    </row>
    <row r="9" ht="12.75" customHeight="1">
      <c r="A9" s="12" t="inlineStr">
        <is>
          <t>Officers, Private Offices (Platoon Commanders)</t>
        </is>
      </c>
      <c r="V9" s="13" t="n">
        <v>120</v>
      </c>
      <c r="Y9" s="13" t="n">
        <v>2</v>
      </c>
      <c r="AB9" s="14">
        <f>V9*Y9</f>
        <v/>
      </c>
    </row>
    <row r="10" ht="12.75" customHeight="1">
      <c r="A10" s="12" t="inlineStr">
        <is>
          <t>SNCOs and Staff, Cubicles</t>
        </is>
      </c>
      <c r="V10" s="13" t="n">
        <v>60</v>
      </c>
      <c r="Y10" s="13" t="n">
        <v>11</v>
      </c>
      <c r="AB10" s="14">
        <f>V10*Y10</f>
        <v/>
      </c>
    </row>
    <row r="11" ht="12.75" customHeight="1">
      <c r="A11" s="15" t="inlineStr">
        <is>
          <t>Administrative Subtotal</t>
        </is>
      </c>
      <c r="AB11" s="14">
        <f>SUM(AB9:AB10)</f>
        <v/>
      </c>
    </row>
    <row r="12" ht="12.75" customHeight="1"/>
    <row r="13" ht="12.75" customHeight="1">
      <c r="A13" s="10" t="inlineStr">
        <is>
          <t>SECTION 2 - MAINTENANCE BAYS</t>
        </is>
      </c>
    </row>
    <row r="14" ht="15.75" customHeight="1">
      <c r="A14" s="20" t="inlineStr">
        <is>
          <t>Vehicle Category</t>
        </is>
      </c>
      <c r="V14" s="4" t="inlineStr">
        <is>
          <t>SF / Bay</t>
        </is>
      </c>
      <c r="Y14" s="4" t="inlineStr">
        <is>
          <t>Qty</t>
        </is>
      </c>
      <c r="AB14" s="4" t="inlineStr">
        <is>
          <t>NSF</t>
        </is>
      </c>
    </row>
    <row r="15" ht="15.75" customHeight="1">
      <c r="A15" s="12" t="inlineStr">
        <is>
          <t>Light Utility Vehicles (JLTV-class M1280, M1279)</t>
        </is>
      </c>
      <c r="V15" s="21" t="n">
        <v>420</v>
      </c>
      <c r="Y15" s="13" t="n">
        <v>33</v>
      </c>
      <c r="AB15" s="21" t="inlineStr"/>
    </row>
    <row r="16" ht="15.75" customHeight="1">
      <c r="A16" s="12" t="inlineStr">
        <is>
          <t>Medium / Heavy Cargo (AMK23A1, AMK27A1)</t>
        </is>
      </c>
      <c r="V16" s="21" t="n">
        <v>420</v>
      </c>
      <c r="Y16" s="13" t="n">
        <v>23</v>
      </c>
      <c r="AB16" s="21" t="inlineStr"/>
    </row>
    <row r="17" ht="15.75" customHeight="1">
      <c r="A17" s="12" t="inlineStr">
        <is>
          <t>Wrecker / Recovery (AMK36)</t>
        </is>
      </c>
      <c r="V17" s="21" t="n">
        <v>420</v>
      </c>
      <c r="Y17" s="13" t="n">
        <v>3</v>
      </c>
      <c r="AB17" s="21" t="inlineStr"/>
    </row>
    <row r="18" ht="15.75" customHeight="1">
      <c r="A18" s="12" t="inlineStr">
        <is>
          <t>Total Self-Propelled Vehicles | CEILING(total / 30) bays</t>
        </is>
      </c>
      <c r="V18" s="21" t="inlineStr"/>
      <c r="Y18" s="14">
        <f>SUM(Y15:Y17)</f>
        <v/>
      </c>
      <c r="AB18" s="21" t="inlineStr"/>
    </row>
    <row r="19" ht="15.75" customHeight="1">
      <c r="A19" s="12" t="inlineStr">
        <is>
          <t>Maintenance Bays (CEILING bays per 30 vehicles)</t>
        </is>
      </c>
      <c r="V19" s="21" t="n">
        <v>420</v>
      </c>
      <c r="Y19" s="14">
        <f>CEILING(Y18/30,1)</f>
        <v/>
      </c>
      <c r="AB19" s="14">
        <f>V19*Y19</f>
        <v/>
      </c>
    </row>
    <row r="20" ht="15.75" customHeight="1">
      <c r="A20" s="15" t="inlineStr">
        <is>
          <t>Maintenance Bays Subtotal</t>
        </is>
      </c>
      <c r="AB20" s="14">
        <f>AB19</f>
        <v/>
      </c>
    </row>
    <row r="21" ht="15.75" customHeight="1"/>
    <row r="22" ht="15.75" customHeight="1">
      <c r="A22" s="10" t="inlineStr">
        <is>
          <t>TOTAL SPACE REQUIREMENT</t>
        </is>
      </c>
    </row>
    <row r="23" ht="15.75" customHeight="1">
      <c r="A23" s="15" t="inlineStr">
        <is>
          <t>Total NSF (Administrative + Maintenance Bays)</t>
        </is>
      </c>
      <c r="AB23" s="14">
        <f>AB11+AB20</f>
        <v/>
      </c>
    </row>
    <row r="24" ht="15.75" customHeight="1">
      <c r="A24" s="12" t="inlineStr">
        <is>
          <t>NTG Factor = 1.33, Required GSF = ROUNDUP(NSF * NTG, 0)</t>
        </is>
      </c>
      <c r="V24" s="13" t="n">
        <v>1.33</v>
      </c>
      <c r="Y24" s="21" t="inlineStr"/>
      <c r="AB24" s="14">
        <f>ROUNDUP(AB23*V24,0)</f>
        <v/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17">
        <f>AB24</f>
        <v/>
      </c>
      <c r="O37" s="18" t="inlineStr">
        <is>
          <t>GSF</t>
        </is>
      </c>
      <c r="AB37" s="19" t="inlineStr"/>
    </row>
  </sheetData>
  <mergeCells count="69">
    <mergeCell ref="V10:X10"/>
    <mergeCell ref="Y4:AF4"/>
    <mergeCell ref="A13:AF13"/>
    <mergeCell ref="Y14:AA14"/>
    <mergeCell ref="Y10:AA10"/>
    <mergeCell ref="A16:U16"/>
    <mergeCell ref="AB15:AF15"/>
    <mergeCell ref="AB18:AF18"/>
    <mergeCell ref="V9:X9"/>
    <mergeCell ref="Y19:AA19"/>
    <mergeCell ref="V24:X24"/>
    <mergeCell ref="AB24:AF24"/>
    <mergeCell ref="AB20:AF20"/>
    <mergeCell ref="H37:K37"/>
    <mergeCell ref="AB14:AF14"/>
    <mergeCell ref="Y17:AA17"/>
    <mergeCell ref="M5:Q5"/>
    <mergeCell ref="V15:X15"/>
    <mergeCell ref="A18:U18"/>
    <mergeCell ref="Y16:AA16"/>
    <mergeCell ref="AE3:AF3"/>
    <mergeCell ref="AB37:AF37"/>
    <mergeCell ref="R3:AC3"/>
    <mergeCell ref="A6:AF6"/>
    <mergeCell ref="F4:L4"/>
    <mergeCell ref="AB16:AF16"/>
    <mergeCell ref="Y18:AA18"/>
    <mergeCell ref="A14:U14"/>
    <mergeCell ref="AB9:AF9"/>
    <mergeCell ref="A7:AF7"/>
    <mergeCell ref="A17:U17"/>
    <mergeCell ref="A23:AA23"/>
    <mergeCell ref="A8:U8"/>
    <mergeCell ref="A3:E3"/>
    <mergeCell ref="V16:X16"/>
    <mergeCell ref="C5:L5"/>
    <mergeCell ref="V19:X19"/>
    <mergeCell ref="R4:X4"/>
    <mergeCell ref="AB11:AF11"/>
    <mergeCell ref="A20:AA20"/>
    <mergeCell ref="A19:U19"/>
    <mergeCell ref="F3:L3"/>
    <mergeCell ref="A5:B5"/>
    <mergeCell ref="Y8:AA8"/>
    <mergeCell ref="A10:U10"/>
    <mergeCell ref="V18:X18"/>
    <mergeCell ref="O37:Q37"/>
    <mergeCell ref="R5:AF5"/>
    <mergeCell ref="V17:X17"/>
    <mergeCell ref="M3:Q3"/>
    <mergeCell ref="A9:U9"/>
    <mergeCell ref="AB23:AF23"/>
    <mergeCell ref="AB8:AF8"/>
    <mergeCell ref="A37:G37"/>
    <mergeCell ref="AB17:AF17"/>
    <mergeCell ref="A4:E4"/>
    <mergeCell ref="A24:U24"/>
    <mergeCell ref="V14:X14"/>
    <mergeCell ref="Y24:AA24"/>
    <mergeCell ref="A15:U15"/>
    <mergeCell ref="A1:AF2"/>
    <mergeCell ref="Y15:AA15"/>
    <mergeCell ref="V8:X8"/>
    <mergeCell ref="Y9:AA9"/>
    <mergeCell ref="AB19:AF19"/>
    <mergeCell ref="A22:AF22"/>
    <mergeCell ref="AB10:AF10"/>
    <mergeCell ref="A11:AA11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214 55</t>
        </is>
      </c>
      <c r="M5" s="2" t="inlineStr">
        <is>
          <t>Nomenclature:</t>
        </is>
      </c>
      <c r="R5" s="3" t="inlineStr">
        <is>
          <t>VEHICLE WASH PLATFORM</t>
        </is>
      </c>
    </row>
    <row r="6" ht="28.5" customHeight="1">
      <c r="A6" s="10" t="inlineStr">
        <is>
          <t>SPACE REQUIREMENT ANALYSIS  ,  CCN 214 55  ,  FC 2-000-05N (Series 100, 11 Feb 2026)</t>
        </is>
      </c>
    </row>
    <row r="7" ht="14.5" customHeight="1">
      <c r="A7" s="11" t="inlineStr">
        <is>
          <t>VEHICLE WASH PLATFORM (Loading driver: Vehicle wash spaces)</t>
        </is>
      </c>
      <c r="V7" s="4" t="inlineStr">
        <is>
          <t>Factor</t>
        </is>
      </c>
      <c r="Y7" s="4" t="inlineStr">
        <is>
          <t>Count</t>
        </is>
      </c>
      <c r="AB7" s="4" t="inlineStr">
        <is>
          <t>GSF</t>
        </is>
      </c>
    </row>
    <row r="8" ht="12.75" customHeight="1">
      <c r="A8" s="12" t="inlineStr">
        <is>
          <t>Primary loading row</t>
        </is>
      </c>
      <c r="V8" s="13" t="n">
        <v>1</v>
      </c>
      <c r="Y8" s="13" t="n">
        <v>84</v>
      </c>
      <c r="AB8" s="14">
        <f>V8*Y8*1.0</f>
        <v/>
      </c>
    </row>
    <row r="9" ht="12.75" customHeight="1">
      <c r="A9" s="12" t="inlineStr"/>
      <c r="V9" s="13" t="inlineStr"/>
      <c r="Y9" s="13" t="inlineStr"/>
      <c r="AB9" s="14">
        <f>V9*Y9*1.0</f>
        <v/>
      </c>
    </row>
    <row r="10" ht="12.75" customHeight="1">
      <c r="A10" s="12" t="inlineStr"/>
      <c r="V10" s="13" t="inlineStr"/>
      <c r="Y10" s="13" t="inlineStr"/>
      <c r="AB10" s="14">
        <f>V10*Y10*1.0</f>
        <v/>
      </c>
    </row>
    <row r="11" ht="12.75" customHeight="1">
      <c r="A11" s="12" t="inlineStr"/>
      <c r="V11" s="13" t="inlineStr"/>
      <c r="Y11" s="13" t="inlineStr"/>
      <c r="AB11" s="14">
        <f>V11*Y11*1.0</f>
        <v/>
      </c>
    </row>
    <row r="12" ht="12.75" customHeight="1">
      <c r="A12" s="12" t="inlineStr"/>
      <c r="V12" s="13" t="inlineStr"/>
      <c r="Y12" s="13" t="inlineStr"/>
      <c r="AB12" s="14">
        <f>V12*Y12*1.0</f>
        <v/>
      </c>
    </row>
    <row r="13" ht="12.75" customHeight="1">
      <c r="A13" s="12" t="inlineStr"/>
      <c r="V13" s="13" t="inlineStr"/>
      <c r="Y13" s="13" t="inlineStr"/>
      <c r="AB13" s="14">
        <f>V13*Y13*1.0</f>
        <v/>
      </c>
    </row>
    <row r="14" ht="15.75" customHeight="1"/>
    <row r="15" ht="15.75" customHeight="1">
      <c r="A15" s="15" t="inlineStr">
        <is>
          <t>Subtotal NSF</t>
        </is>
      </c>
      <c r="AB15" s="14">
        <f>SUM(AB8:AF13)</f>
        <v/>
      </c>
    </row>
    <row r="16" ht="15.75" customHeight="1">
      <c r="A16" s="15" t="inlineStr">
        <is>
          <t>Net to Gross multiplier (NTG = 1.0)</t>
        </is>
      </c>
      <c r="AB16" s="14">
        <f>AB15*1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17">
        <f>AB16</f>
        <v/>
      </c>
      <c r="O37" s="18" t="inlineStr">
        <is>
          <t>GSF</t>
        </is>
      </c>
      <c r="AB37" s="19" t="inlineStr"/>
    </row>
  </sheetData>
  <mergeCells count="52">
    <mergeCell ref="V10:X10"/>
    <mergeCell ref="Y11:AA11"/>
    <mergeCell ref="Y4:AF4"/>
    <mergeCell ref="Y10:AA10"/>
    <mergeCell ref="A7:U7"/>
    <mergeCell ref="AB15:AF15"/>
    <mergeCell ref="V9:X9"/>
    <mergeCell ref="A16:AA16"/>
    <mergeCell ref="H37:K37"/>
    <mergeCell ref="M5:Q5"/>
    <mergeCell ref="Y7:AA7"/>
    <mergeCell ref="V11:X11"/>
    <mergeCell ref="A12:U12"/>
    <mergeCell ref="AE3:AF3"/>
    <mergeCell ref="R3:AC3"/>
    <mergeCell ref="Y13:AA13"/>
    <mergeCell ref="A6:AF6"/>
    <mergeCell ref="F4:L4"/>
    <mergeCell ref="AB16:AF16"/>
    <mergeCell ref="Y12:AA12"/>
    <mergeCell ref="AB9:AF9"/>
    <mergeCell ref="V7:X7"/>
    <mergeCell ref="A8:U8"/>
    <mergeCell ref="A3:E3"/>
    <mergeCell ref="C5:L5"/>
    <mergeCell ref="AB12:AF12"/>
    <mergeCell ref="R4:X4"/>
    <mergeCell ref="AB11:AF11"/>
    <mergeCell ref="F3:L3"/>
    <mergeCell ref="A5:B5"/>
    <mergeCell ref="Y8:AA8"/>
    <mergeCell ref="A10:U10"/>
    <mergeCell ref="V12:X12"/>
    <mergeCell ref="O37:Q37"/>
    <mergeCell ref="R5:AF5"/>
    <mergeCell ref="A13:U13"/>
    <mergeCell ref="M3:Q3"/>
    <mergeCell ref="A9:U9"/>
    <mergeCell ref="AB8:AF8"/>
    <mergeCell ref="A37:G37"/>
    <mergeCell ref="A4:E4"/>
    <mergeCell ref="AB13:AF13"/>
    <mergeCell ref="AB7:AF7"/>
    <mergeCell ref="A15:AA15"/>
    <mergeCell ref="A1:AF2"/>
    <mergeCell ref="V8:X8"/>
    <mergeCell ref="Y9:AA9"/>
    <mergeCell ref="A11:U11"/>
    <mergeCell ref="AB10:AF10"/>
    <mergeCell ref="V13:X13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610 72</t>
        </is>
      </c>
      <c r="M5" s="2" t="inlineStr">
        <is>
          <t>Nomenclature:</t>
        </is>
      </c>
      <c r="R5" s="3" t="inlineStr">
        <is>
          <t>BATTLN SQUADRN HQ (MARCOR)</t>
        </is>
      </c>
    </row>
    <row r="6" ht="28.5" customHeight="1">
      <c r="A6" s="10" t="inlineStr">
        <is>
          <t>SPACE REQUIREMENT ANALYSIS  ,  CCN 610 72  ,  FC 2-000-05N (Series 100, 11 Feb 2026)</t>
        </is>
      </c>
    </row>
    <row r="7" ht="14.5" customHeight="1">
      <c r="A7" s="10" t="inlineStr">
        <is>
          <t>BILLETS EXCLUDED FROM THIS CCN (require separate facility CCNs)</t>
        </is>
      </c>
    </row>
    <row r="8" ht="12.75" customHeight="1">
      <c r="A8" s="12" t="inlineStr">
        <is>
          <t>Medical / BAS billets (34), medical facility CCN required</t>
        </is>
      </c>
    </row>
    <row r="9" ht="12.75" customHeight="1">
      <c r="A9" s="12" t="inlineStr">
        <is>
          <t>EOD Section billets (13), EOD facility CCN required</t>
        </is>
      </c>
    </row>
    <row r="10" ht="12.75" customHeight="1">
      <c r="A10" s="12" t="inlineStr">
        <is>
          <t>Specialist shop billets (99), maintenance shop CCN(s) required</t>
        </is>
      </c>
    </row>
    <row r="11" ht="12.75" customHeight="1">
      <c r="A11" s="12" t="inlineStr">
        <is>
          <t>Ordnance repair billets (10), ordnance shop CCN required</t>
        </is>
      </c>
    </row>
    <row r="12" ht="12.75" customHeight="1"/>
    <row r="13" ht="12.75" customHeight="1">
      <c r="A13" s="10" t="inlineStr">
        <is>
          <t>ADMINISTRATIVE SPACE CALCULATION</t>
        </is>
      </c>
    </row>
    <row r="14" ht="15.75" customHeight="1">
      <c r="A14" s="11" t="inlineStr">
        <is>
          <t>Space Type</t>
        </is>
      </c>
      <c r="V14" s="4" t="inlineStr">
        <is>
          <t>SF / Person</t>
        </is>
      </c>
      <c r="Y14" s="4" t="inlineStr">
        <is>
          <t>Count</t>
        </is>
      </c>
      <c r="AB14" s="4" t="inlineStr">
        <is>
          <t>NSF</t>
        </is>
      </c>
    </row>
    <row r="15" ht="15.75" customHeight="1">
      <c r="A15" s="12" t="inlineStr">
        <is>
          <t>Private Offices (CO, XO, CSE, Chaplain, S-Staff Officers)</t>
        </is>
      </c>
      <c r="V15" s="13" t="n">
        <v>120</v>
      </c>
      <c r="Y15" s="13" t="n">
        <v>21</v>
      </c>
      <c r="AB15" s="14">
        <f>V15*Y15</f>
        <v/>
      </c>
    </row>
    <row r="16" ht="15.75" customHeight="1">
      <c r="A16" s="12" t="inlineStr">
        <is>
          <t>Cubicles (S-Staff NCOs, Company Admin, Supply, Ops)</t>
        </is>
      </c>
      <c r="V16" s="13" t="n">
        <v>60</v>
      </c>
      <c r="Y16" s="13" t="n">
        <v>63</v>
      </c>
      <c r="AB16" s="14">
        <f>V16*Y16</f>
        <v/>
      </c>
    </row>
    <row r="17" ht="15.75" customHeight="1">
      <c r="A17" s="15" t="inlineStr">
        <is>
          <t>Total NSF</t>
        </is>
      </c>
      <c r="AB17" s="14">
        <f>SUM(AB15:AB16)</f>
        <v/>
      </c>
    </row>
    <row r="18" ht="15.75" customHeight="1"/>
    <row r="19" ht="15.75" customHeight="1">
      <c r="A19" s="10" t="inlineStr">
        <is>
          <t>TOTAL SPACE REQUIREMENT</t>
        </is>
      </c>
    </row>
    <row r="20" ht="15.75" customHeight="1">
      <c r="A20" s="12" t="inlineStr">
        <is>
          <t>NTG Factor = 1.33, Required GSF = ROUNDUP(NSF * NTG, 0)</t>
        </is>
      </c>
      <c r="V20" s="13" t="n">
        <v>1.33</v>
      </c>
      <c r="Y20" s="21" t="inlineStr"/>
      <c r="AB20" s="14">
        <f>ROUNDUP(AB17*V20,0)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17">
        <f>AB20</f>
        <v/>
      </c>
      <c r="O37" s="18" t="inlineStr">
        <is>
          <t>GSF</t>
        </is>
      </c>
      <c r="AB37" s="19" t="inlineStr"/>
    </row>
  </sheetData>
  <mergeCells count="45">
    <mergeCell ref="A10:AF10"/>
    <mergeCell ref="Y20:AA20"/>
    <mergeCell ref="Y4:AF4"/>
    <mergeCell ref="A13:AF13"/>
    <mergeCell ref="Y14:AA14"/>
    <mergeCell ref="A16:U16"/>
    <mergeCell ref="A19:AF19"/>
    <mergeCell ref="AB15:AF15"/>
    <mergeCell ref="H37:K37"/>
    <mergeCell ref="AB20:AF20"/>
    <mergeCell ref="A9:AF9"/>
    <mergeCell ref="AB14:AF14"/>
    <mergeCell ref="M5:Q5"/>
    <mergeCell ref="V15:X15"/>
    <mergeCell ref="A11:AF11"/>
    <mergeCell ref="Y16:AA16"/>
    <mergeCell ref="AE3:AF3"/>
    <mergeCell ref="R3:AC3"/>
    <mergeCell ref="A6:AF6"/>
    <mergeCell ref="F4:L4"/>
    <mergeCell ref="AB16:AF16"/>
    <mergeCell ref="A14:U14"/>
    <mergeCell ref="A7:AF7"/>
    <mergeCell ref="A3:E3"/>
    <mergeCell ref="V16:X16"/>
    <mergeCell ref="C5:L5"/>
    <mergeCell ref="A17:AA17"/>
    <mergeCell ref="A20:U20"/>
    <mergeCell ref="R4:X4"/>
    <mergeCell ref="F3:L3"/>
    <mergeCell ref="A5:B5"/>
    <mergeCell ref="O37:Q37"/>
    <mergeCell ref="R5:AF5"/>
    <mergeCell ref="M3:Q3"/>
    <mergeCell ref="A37:G37"/>
    <mergeCell ref="AB17:AF17"/>
    <mergeCell ref="A4:E4"/>
    <mergeCell ref="V14:X14"/>
    <mergeCell ref="A15:U15"/>
    <mergeCell ref="A1:AF2"/>
    <mergeCell ref="Y15:AA15"/>
    <mergeCell ref="A8:AF8"/>
    <mergeCell ref="V20:X20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143 12</t>
        </is>
      </c>
      <c r="M5" s="2" t="inlineStr">
        <is>
          <t>Nomenclature:</t>
        </is>
      </c>
      <c r="R5" s="3" t="inlineStr">
        <is>
          <t>OPRTNL VEHICLE LAYDWN AREA</t>
        </is>
      </c>
    </row>
    <row r="6" ht="28.5" customHeight="1">
      <c r="A6" s="10" t="inlineStr">
        <is>
          <t>SPACE REQUIREMENT ANALYSIS  ,  CCN 143 12  ,  FC 2-000-05N (Series 100, 11 Feb 2026)</t>
        </is>
      </c>
    </row>
    <row r="7" ht="14.5" customHeight="1">
      <c r="A7" s="11" t="inlineStr">
        <is>
          <t>OPRTNL VEHICLE LAYDWN AREA (Loading driver: Vehicle laydown areas)</t>
        </is>
      </c>
      <c r="V7" s="4" t="inlineStr">
        <is>
          <t>Factor</t>
        </is>
      </c>
      <c r="Y7" s="4" t="inlineStr">
        <is>
          <t>Count</t>
        </is>
      </c>
      <c r="AB7" s="4" t="inlineStr">
        <is>
          <t>GSY</t>
        </is>
      </c>
    </row>
    <row r="8" ht="12.75" customHeight="1">
      <c r="A8" s="12" t="inlineStr">
        <is>
          <t>Primary loading row</t>
        </is>
      </c>
      <c r="V8" s="13" t="n">
        <v>1</v>
      </c>
      <c r="Y8" s="13" t="n">
        <v>84</v>
      </c>
      <c r="AB8" s="14">
        <f>V8*Y8*1.0</f>
        <v/>
      </c>
    </row>
    <row r="9" ht="12.75" customHeight="1">
      <c r="A9" s="12" t="inlineStr"/>
      <c r="V9" s="13" t="inlineStr"/>
      <c r="Y9" s="13" t="inlineStr"/>
      <c r="AB9" s="14">
        <f>V9*Y9*1.0</f>
        <v/>
      </c>
    </row>
    <row r="10" ht="12.75" customHeight="1">
      <c r="A10" s="12" t="inlineStr"/>
      <c r="V10" s="13" t="inlineStr"/>
      <c r="Y10" s="13" t="inlineStr"/>
      <c r="AB10" s="14">
        <f>V10*Y10*1.0</f>
        <v/>
      </c>
    </row>
    <row r="11" ht="12.75" customHeight="1">
      <c r="A11" s="12" t="inlineStr"/>
      <c r="V11" s="13" t="inlineStr"/>
      <c r="Y11" s="13" t="inlineStr"/>
      <c r="AB11" s="14">
        <f>V11*Y11*1.0</f>
        <v/>
      </c>
    </row>
    <row r="12" ht="12.75" customHeight="1">
      <c r="A12" s="12" t="inlineStr"/>
      <c r="V12" s="13" t="inlineStr"/>
      <c r="Y12" s="13" t="inlineStr"/>
      <c r="AB12" s="14">
        <f>V12*Y12*1.0</f>
        <v/>
      </c>
    </row>
    <row r="13" ht="12.75" customHeight="1">
      <c r="A13" s="12" t="inlineStr"/>
      <c r="V13" s="13" t="inlineStr"/>
      <c r="Y13" s="13" t="inlineStr"/>
      <c r="AB13" s="14">
        <f>V13*Y13*1.0</f>
        <v/>
      </c>
    </row>
    <row r="14" ht="15.75" customHeight="1"/>
    <row r="15" ht="15.75" customHeight="1">
      <c r="A15" s="15" t="inlineStr">
        <is>
          <t>Subtotal NSF</t>
        </is>
      </c>
      <c r="AB15" s="14">
        <f>SUM(AB8:AF13)</f>
        <v/>
      </c>
    </row>
    <row r="16" ht="15.75" customHeight="1">
      <c r="A16" s="15" t="inlineStr">
        <is>
          <t>Net to Gross multiplier (NTG = 1.0)</t>
        </is>
      </c>
      <c r="AB16" s="14">
        <f>AB15*1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22">
        <f>AB16</f>
        <v/>
      </c>
      <c r="O37" s="18" t="inlineStr">
        <is>
          <t>GSY</t>
        </is>
      </c>
      <c r="AB37" s="19" t="inlineStr"/>
    </row>
  </sheetData>
  <mergeCells count="52">
    <mergeCell ref="V10:X10"/>
    <mergeCell ref="Y11:AA11"/>
    <mergeCell ref="Y4:AF4"/>
    <mergeCell ref="Y10:AA10"/>
    <mergeCell ref="A7:U7"/>
    <mergeCell ref="AB15:AF15"/>
    <mergeCell ref="V9:X9"/>
    <mergeCell ref="A16:AA16"/>
    <mergeCell ref="H37:K37"/>
    <mergeCell ref="M5:Q5"/>
    <mergeCell ref="Y7:AA7"/>
    <mergeCell ref="V11:X11"/>
    <mergeCell ref="A12:U12"/>
    <mergeCell ref="AE3:AF3"/>
    <mergeCell ref="R3:AC3"/>
    <mergeCell ref="Y13:AA13"/>
    <mergeCell ref="A6:AF6"/>
    <mergeCell ref="F4:L4"/>
    <mergeCell ref="AB16:AF16"/>
    <mergeCell ref="Y12:AA12"/>
    <mergeCell ref="AB9:AF9"/>
    <mergeCell ref="V7:X7"/>
    <mergeCell ref="A8:U8"/>
    <mergeCell ref="A3:E3"/>
    <mergeCell ref="C5:L5"/>
    <mergeCell ref="AB12:AF12"/>
    <mergeCell ref="R4:X4"/>
    <mergeCell ref="AB11:AF11"/>
    <mergeCell ref="F3:L3"/>
    <mergeCell ref="A5:B5"/>
    <mergeCell ref="Y8:AA8"/>
    <mergeCell ref="A10:U10"/>
    <mergeCell ref="V12:X12"/>
    <mergeCell ref="O37:Q37"/>
    <mergeCell ref="R5:AF5"/>
    <mergeCell ref="A13:U13"/>
    <mergeCell ref="M3:Q3"/>
    <mergeCell ref="A9:U9"/>
    <mergeCell ref="AB8:AF8"/>
    <mergeCell ref="A37:G37"/>
    <mergeCell ref="A4:E4"/>
    <mergeCell ref="AB13:AF13"/>
    <mergeCell ref="AB7:AF7"/>
    <mergeCell ref="A15:AA15"/>
    <mergeCell ref="A1:AF2"/>
    <mergeCell ref="V8:X8"/>
    <mergeCell ref="Y9:AA9"/>
    <mergeCell ref="A11:U11"/>
    <mergeCell ref="AB10:AF10"/>
    <mergeCell ref="V13:X13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143 26</t>
        </is>
      </c>
      <c r="M5" s="2" t="inlineStr">
        <is>
          <t>Nomenclature:</t>
        </is>
      </c>
      <c r="R5" s="3" t="inlineStr">
        <is>
          <t>MARINE CORPS EOD PLATOON</t>
        </is>
      </c>
    </row>
    <row r="6" ht="28.5" customHeight="1">
      <c r="A6" s="10" t="inlineStr">
        <is>
          <t>SPACE REQUIREMENT ANALYSIS  ,  CCN 143 26  ,  FC 2-000-05N (Series 100, 11 Feb 2026)</t>
        </is>
      </c>
    </row>
    <row r="7" ht="14.5" customHeight="1">
      <c r="A7" s="10" t="inlineStr">
        <is>
          <t>ADMINISTRATIVE SPACE CALCULATION</t>
        </is>
      </c>
    </row>
    <row r="8" ht="12.75" customHeight="1">
      <c r="A8" s="11" t="inlineStr">
        <is>
          <t>EOD Personnel Space</t>
        </is>
      </c>
      <c r="V8" s="4" t="inlineStr">
        <is>
          <t>SF / Person</t>
        </is>
      </c>
      <c r="Y8" s="4" t="inlineStr">
        <is>
          <t>Count</t>
        </is>
      </c>
      <c r="AB8" s="4" t="inlineStr">
        <is>
          <t>NSF</t>
        </is>
      </c>
    </row>
    <row r="9" ht="12.75" customHeight="1">
      <c r="A9" s="12" t="inlineStr">
        <is>
          <t>EOD Officers, Private Offices</t>
        </is>
      </c>
      <c r="V9" s="13" t="n">
        <v>120</v>
      </c>
      <c r="Y9" s="13" t="n">
        <v>2</v>
      </c>
      <c r="AB9" s="14">
        <f>V9*Y9</f>
        <v/>
      </c>
    </row>
    <row r="10" ht="12.75" customHeight="1">
      <c r="A10" s="12" t="inlineStr">
        <is>
          <t>EOD Enlisted, Workspace</t>
        </is>
      </c>
      <c r="V10" s="13" t="n">
        <v>60</v>
      </c>
      <c r="Y10" s="13" t="n">
        <v>11</v>
      </c>
      <c r="AB10" s="14">
        <f>V10*Y10</f>
        <v/>
      </c>
    </row>
    <row r="11" ht="12.75" customHeight="1">
      <c r="A11" s="15" t="inlineStr">
        <is>
          <t>Total NSF</t>
        </is>
      </c>
      <c r="AB11" s="14">
        <f>SUM(AB9:AB10)</f>
        <v/>
      </c>
    </row>
    <row r="12" ht="12.75" customHeight="1"/>
    <row r="13" ht="12.75" customHeight="1">
      <c r="A13" s="10" t="inlineStr">
        <is>
          <t>TOTAL SPACE REQUIREMENT</t>
        </is>
      </c>
    </row>
    <row r="14" ht="15.75" customHeight="1">
      <c r="A14" s="12" t="inlineStr">
        <is>
          <t>NTG Factor = 1.33, Required GSF = ROUNDUP(NSF * NTG, 0)</t>
        </is>
      </c>
      <c r="V14" s="13" t="n">
        <v>1.33</v>
      </c>
      <c r="Y14" s="21" t="inlineStr"/>
      <c r="AB14" s="14">
        <f>ROUNDUP(AB11*V14,0)</f>
        <v/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17">
        <f>AB14</f>
        <v/>
      </c>
      <c r="O37" s="18" t="inlineStr">
        <is>
          <t>GSF</t>
        </is>
      </c>
      <c r="AB37" s="19" t="inlineStr"/>
    </row>
  </sheetData>
  <mergeCells count="40">
    <mergeCell ref="V10:X10"/>
    <mergeCell ref="Y4:AF4"/>
    <mergeCell ref="A13:AF13"/>
    <mergeCell ref="Y14:AA14"/>
    <mergeCell ref="Y10:AA10"/>
    <mergeCell ref="V9:X9"/>
    <mergeCell ref="H37:K37"/>
    <mergeCell ref="AB14:AF14"/>
    <mergeCell ref="M5:Q5"/>
    <mergeCell ref="AE3:AF3"/>
    <mergeCell ref="AB37:AF37"/>
    <mergeCell ref="R3:AC3"/>
    <mergeCell ref="A6:AF6"/>
    <mergeCell ref="F4:L4"/>
    <mergeCell ref="A14:U14"/>
    <mergeCell ref="AB9:AF9"/>
    <mergeCell ref="A7:AF7"/>
    <mergeCell ref="A8:U8"/>
    <mergeCell ref="A3:E3"/>
    <mergeCell ref="C5:L5"/>
    <mergeCell ref="R4:X4"/>
    <mergeCell ref="AB11:AF11"/>
    <mergeCell ref="F3:L3"/>
    <mergeCell ref="A5:B5"/>
    <mergeCell ref="Y8:AA8"/>
    <mergeCell ref="A10:U10"/>
    <mergeCell ref="O37:Q37"/>
    <mergeCell ref="R5:AF5"/>
    <mergeCell ref="M3:Q3"/>
    <mergeCell ref="A9:U9"/>
    <mergeCell ref="AB8:AF8"/>
    <mergeCell ref="A37:G37"/>
    <mergeCell ref="A4:E4"/>
    <mergeCell ref="V14:X14"/>
    <mergeCell ref="A1:AF2"/>
    <mergeCell ref="V8:X8"/>
    <mergeCell ref="Y9:AA9"/>
    <mergeCell ref="AB10:AF10"/>
    <mergeCell ref="A11:AA11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217 10</t>
        </is>
      </c>
      <c r="M5" s="2" t="inlineStr">
        <is>
          <t>Nomenclature:</t>
        </is>
      </c>
      <c r="R5" s="3" t="inlineStr">
        <is>
          <t>ELECNX/COMMS MAINT SHOP</t>
        </is>
      </c>
    </row>
    <row r="6" ht="28.5" customHeight="1">
      <c r="A6" s="10" t="inlineStr">
        <is>
          <t>SPACE REQUIREMENT ANALYSIS  ,  CCN 217 10  ,  FC 2-000-05N (Series 100, 11 Feb 2026)</t>
        </is>
      </c>
    </row>
    <row r="7" ht="14.5" customHeight="1">
      <c r="A7" s="10" t="inlineStr">
        <is>
          <t>SECTION 1 - ADMINISTRATIVE SPACE</t>
        </is>
      </c>
    </row>
    <row r="8" ht="12.75" customHeight="1">
      <c r="A8" s="20" t="inlineStr">
        <is>
          <t>Personnel Category</t>
        </is>
      </c>
      <c r="V8" s="4" t="inlineStr">
        <is>
          <t>SF / Person</t>
        </is>
      </c>
      <c r="Y8" s="4" t="inlineStr">
        <is>
          <t>Count</t>
        </is>
      </c>
      <c r="AB8" s="4" t="inlineStr">
        <is>
          <t>NSF</t>
        </is>
      </c>
    </row>
    <row r="9" ht="12.75" customHeight="1">
      <c r="A9" s="12" t="inlineStr">
        <is>
          <t>Comm Maint Officers</t>
        </is>
      </c>
      <c r="V9" s="13" t="n">
        <v>120</v>
      </c>
      <c r="Y9" s="13" t="n">
        <v>2</v>
      </c>
      <c r="AB9" s="14">
        <f>V9*Y9</f>
        <v/>
      </c>
    </row>
    <row r="10" ht="12.75" customHeight="1">
      <c r="A10" s="12" t="inlineStr">
        <is>
          <t>Comm Maint Enlisted</t>
        </is>
      </c>
      <c r="V10" s="13" t="n">
        <v>60</v>
      </c>
      <c r="Y10" s="13" t="n">
        <v>30</v>
      </c>
      <c r="AB10" s="14">
        <f>V10*Y10</f>
        <v/>
      </c>
    </row>
    <row r="11" ht="12.75" customHeight="1">
      <c r="A11" s="15" t="inlineStr">
        <is>
          <t>Administrative Subtotal</t>
        </is>
      </c>
      <c r="AB11" s="14">
        <f>SUM(AB9:AB10)</f>
        <v/>
      </c>
    </row>
    <row r="12" ht="12.75" customHeight="1"/>
    <row r="13" ht="12.75" customHeight="1">
      <c r="A13" s="10" t="inlineStr">
        <is>
          <t>SECTION 2 - MAINTENANCE BAYS</t>
        </is>
      </c>
    </row>
    <row r="14" ht="15.75" customHeight="1">
      <c r="A14" s="20" t="inlineStr">
        <is>
          <t>Vehicle Category</t>
        </is>
      </c>
      <c r="V14" s="4" t="inlineStr">
        <is>
          <t>SF / Bay</t>
        </is>
      </c>
      <c r="Y14" s="4" t="inlineStr">
        <is>
          <t>Qty</t>
        </is>
      </c>
      <c r="AB14" s="4" t="inlineStr">
        <is>
          <t>NSF</t>
        </is>
      </c>
    </row>
    <row r="15" ht="15.75" customHeight="1">
      <c r="A15" s="12" t="inlineStr">
        <is>
          <t>Comm vehicles (radio shelters)</t>
        </is>
      </c>
      <c r="V15" s="21" t="n">
        <v>420</v>
      </c>
      <c r="Y15" s="13" t="n">
        <v>12</v>
      </c>
      <c r="AB15" s="21" t="inlineStr"/>
    </row>
    <row r="16" ht="15.75" customHeight="1">
      <c r="A16" s="12" t="inlineStr"/>
      <c r="V16" s="21" t="inlineStr"/>
      <c r="Y16" s="13" t="n">
        <v>0</v>
      </c>
      <c r="AB16" s="21" t="inlineStr"/>
    </row>
    <row r="17" ht="15.75" customHeight="1">
      <c r="A17" s="12" t="inlineStr"/>
      <c r="V17" s="21" t="inlineStr"/>
      <c r="Y17" s="13" t="n">
        <v>0</v>
      </c>
      <c r="AB17" s="21" t="inlineStr"/>
    </row>
    <row r="18" ht="15.75" customHeight="1">
      <c r="A18" s="12" t="inlineStr">
        <is>
          <t>Total Self-Propelled Vehicles | CEILING(total / 15) bays</t>
        </is>
      </c>
      <c r="V18" s="21" t="inlineStr"/>
      <c r="Y18" s="14">
        <f>SUM(Y15:Y17)</f>
        <v/>
      </c>
      <c r="AB18" s="21" t="inlineStr"/>
    </row>
    <row r="19" ht="15.75" customHeight="1">
      <c r="A19" s="12" t="inlineStr">
        <is>
          <t>Maintenance Bays (CEILING bays per 15 vehicles)</t>
        </is>
      </c>
      <c r="V19" s="21" t="n">
        <v>420</v>
      </c>
      <c r="Y19" s="14">
        <f>CEILING(Y18/15,1)</f>
        <v/>
      </c>
      <c r="AB19" s="14">
        <f>V19*Y19</f>
        <v/>
      </c>
    </row>
    <row r="20" ht="15.75" customHeight="1">
      <c r="A20" s="15" t="inlineStr">
        <is>
          <t>Maintenance Bays Subtotal</t>
        </is>
      </c>
      <c r="AB20" s="14">
        <f>AB19</f>
        <v/>
      </c>
    </row>
    <row r="21" ht="15.75" customHeight="1"/>
    <row r="22" ht="15.75" customHeight="1">
      <c r="A22" s="10" t="inlineStr">
        <is>
          <t>TOTAL SPACE REQUIREMENT</t>
        </is>
      </c>
    </row>
    <row r="23" ht="15.75" customHeight="1">
      <c r="A23" s="15" t="inlineStr">
        <is>
          <t>Total NSF (Administrative + Maintenance Bays)</t>
        </is>
      </c>
      <c r="AB23" s="14">
        <f>AB11+AB20</f>
        <v/>
      </c>
    </row>
    <row r="24" ht="15.75" customHeight="1">
      <c r="A24" s="12" t="inlineStr">
        <is>
          <t>NTG Factor = 1.33, Required GSF = ROUNDUP(NSF * NTG, 0)</t>
        </is>
      </c>
      <c r="V24" s="13" t="n">
        <v>1.33</v>
      </c>
      <c r="Y24" s="21" t="inlineStr"/>
      <c r="AB24" s="14">
        <f>ROUNDUP(AB23*V24,0)</f>
        <v/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17">
        <f>AB24</f>
        <v/>
      </c>
      <c r="O37" s="18" t="inlineStr">
        <is>
          <t>GSF</t>
        </is>
      </c>
      <c r="AB37" s="19" t="inlineStr"/>
    </row>
  </sheetData>
  <mergeCells count="69">
    <mergeCell ref="V10:X10"/>
    <mergeCell ref="Y4:AF4"/>
    <mergeCell ref="A13:AF13"/>
    <mergeCell ref="Y14:AA14"/>
    <mergeCell ref="Y10:AA10"/>
    <mergeCell ref="A16:U16"/>
    <mergeCell ref="AB15:AF15"/>
    <mergeCell ref="AB18:AF18"/>
    <mergeCell ref="V9:X9"/>
    <mergeCell ref="Y19:AA19"/>
    <mergeCell ref="V24:X24"/>
    <mergeCell ref="AB24:AF24"/>
    <mergeCell ref="AB20:AF20"/>
    <mergeCell ref="H37:K37"/>
    <mergeCell ref="AB14:AF14"/>
    <mergeCell ref="Y17:AA17"/>
    <mergeCell ref="M5:Q5"/>
    <mergeCell ref="V15:X15"/>
    <mergeCell ref="A18:U18"/>
    <mergeCell ref="Y16:AA16"/>
    <mergeCell ref="AE3:AF3"/>
    <mergeCell ref="AB37:AF37"/>
    <mergeCell ref="R3:AC3"/>
    <mergeCell ref="A6:AF6"/>
    <mergeCell ref="F4:L4"/>
    <mergeCell ref="AB16:AF16"/>
    <mergeCell ref="Y18:AA18"/>
    <mergeCell ref="A14:U14"/>
    <mergeCell ref="AB9:AF9"/>
    <mergeCell ref="A7:AF7"/>
    <mergeCell ref="A17:U17"/>
    <mergeCell ref="A23:AA23"/>
    <mergeCell ref="A8:U8"/>
    <mergeCell ref="A3:E3"/>
    <mergeCell ref="V16:X16"/>
    <mergeCell ref="C5:L5"/>
    <mergeCell ref="V19:X19"/>
    <mergeCell ref="R4:X4"/>
    <mergeCell ref="AB11:AF11"/>
    <mergeCell ref="A20:AA20"/>
    <mergeCell ref="A19:U19"/>
    <mergeCell ref="F3:L3"/>
    <mergeCell ref="A5:B5"/>
    <mergeCell ref="Y8:AA8"/>
    <mergeCell ref="A10:U10"/>
    <mergeCell ref="V18:X18"/>
    <mergeCell ref="O37:Q37"/>
    <mergeCell ref="R5:AF5"/>
    <mergeCell ref="V17:X17"/>
    <mergeCell ref="M3:Q3"/>
    <mergeCell ref="A9:U9"/>
    <mergeCell ref="AB23:AF23"/>
    <mergeCell ref="AB8:AF8"/>
    <mergeCell ref="A37:G37"/>
    <mergeCell ref="AB17:AF17"/>
    <mergeCell ref="A4:E4"/>
    <mergeCell ref="A24:U24"/>
    <mergeCell ref="V14:X14"/>
    <mergeCell ref="Y24:AA24"/>
    <mergeCell ref="A15:U15"/>
    <mergeCell ref="A1:AF2"/>
    <mergeCell ref="Y15:AA15"/>
    <mergeCell ref="V8:X8"/>
    <mergeCell ref="Y9:AA9"/>
    <mergeCell ref="AB19:AF19"/>
    <mergeCell ref="A22:AF22"/>
    <mergeCell ref="AB10:AF10"/>
    <mergeCell ref="A11:AA11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217 30</t>
        </is>
      </c>
      <c r="M5" s="2" t="inlineStr">
        <is>
          <t>Nomenclature:</t>
        </is>
      </c>
      <c r="R5" s="3" t="inlineStr">
        <is>
          <t>FLD MAINT SHOP(ELEC/COMMS)</t>
        </is>
      </c>
    </row>
    <row r="6" ht="28.5" customHeight="1">
      <c r="A6" s="10" t="inlineStr">
        <is>
          <t>SPACE REQUIREMENT ANALYSIS  ,  CCN 217 30  ,  FC 2-000-05N (Series 100, 11 Feb 2026)</t>
        </is>
      </c>
    </row>
    <row r="7" ht="14.5" customHeight="1">
      <c r="A7" s="10" t="inlineStr">
        <is>
          <t>SECTION 1 - ADMINISTRATIVE SPACE</t>
        </is>
      </c>
    </row>
    <row r="8" ht="12.75" customHeight="1">
      <c r="A8" s="20" t="inlineStr">
        <is>
          <t>Personnel Category</t>
        </is>
      </c>
      <c r="V8" s="4" t="inlineStr">
        <is>
          <t>SF / Person</t>
        </is>
      </c>
      <c r="Y8" s="4" t="inlineStr">
        <is>
          <t>Count</t>
        </is>
      </c>
      <c r="AB8" s="4" t="inlineStr">
        <is>
          <t>NSF</t>
        </is>
      </c>
    </row>
    <row r="9" ht="12.75" customHeight="1">
      <c r="A9" s="12" t="inlineStr">
        <is>
          <t>Field Maint Officers</t>
        </is>
      </c>
      <c r="V9" s="13" t="n">
        <v>120</v>
      </c>
      <c r="Y9" s="13" t="n">
        <v>2</v>
      </c>
      <c r="AB9" s="14">
        <f>V9*Y9</f>
        <v/>
      </c>
    </row>
    <row r="10" ht="12.75" customHeight="1">
      <c r="A10" s="12" t="inlineStr">
        <is>
          <t>Field Maint Enlisted</t>
        </is>
      </c>
      <c r="V10" s="13" t="n">
        <v>60</v>
      </c>
      <c r="Y10" s="13" t="n">
        <v>33</v>
      </c>
      <c r="AB10" s="14">
        <f>V10*Y10</f>
        <v/>
      </c>
    </row>
    <row r="11" ht="12.75" customHeight="1">
      <c r="A11" s="15" t="inlineStr">
        <is>
          <t>Administrative Subtotal</t>
        </is>
      </c>
      <c r="AB11" s="14">
        <f>SUM(AB9:AB10)</f>
        <v/>
      </c>
    </row>
    <row r="12" ht="12.75" customHeight="1"/>
    <row r="13" ht="12.75" customHeight="1">
      <c r="A13" s="10" t="inlineStr">
        <is>
          <t>SECTION 2 - MAINTENANCE BAYS</t>
        </is>
      </c>
    </row>
    <row r="14" ht="15.75" customHeight="1">
      <c r="A14" s="20" t="inlineStr">
        <is>
          <t>Vehicle Category</t>
        </is>
      </c>
      <c r="V14" s="4" t="inlineStr">
        <is>
          <t>SF / Bay</t>
        </is>
      </c>
      <c r="Y14" s="4" t="inlineStr">
        <is>
          <t>Qty</t>
        </is>
      </c>
      <c r="AB14" s="4" t="inlineStr">
        <is>
          <t>NSF</t>
        </is>
      </c>
    </row>
    <row r="15" ht="15.75" customHeight="1">
      <c r="A15" s="12" t="inlineStr">
        <is>
          <t>Field maintenance vehicles</t>
        </is>
      </c>
      <c r="V15" s="21" t="n">
        <v>420</v>
      </c>
      <c r="Y15" s="13" t="n">
        <v>18</v>
      </c>
      <c r="AB15" s="21" t="inlineStr"/>
    </row>
    <row r="16" ht="15.75" customHeight="1">
      <c r="A16" s="12" t="inlineStr"/>
      <c r="V16" s="21" t="inlineStr"/>
      <c r="Y16" s="13" t="n">
        <v>0</v>
      </c>
      <c r="AB16" s="21" t="inlineStr"/>
    </row>
    <row r="17" ht="15.75" customHeight="1">
      <c r="A17" s="12" t="inlineStr"/>
      <c r="V17" s="21" t="inlineStr"/>
      <c r="Y17" s="13" t="n">
        <v>0</v>
      </c>
      <c r="AB17" s="21" t="inlineStr"/>
    </row>
    <row r="18" ht="15.75" customHeight="1">
      <c r="A18" s="12" t="inlineStr">
        <is>
          <t>Total Self-Propelled Vehicles | CEILING(total / 15) bays</t>
        </is>
      </c>
      <c r="V18" s="21" t="inlineStr"/>
      <c r="Y18" s="14">
        <f>SUM(Y15:Y17)</f>
        <v/>
      </c>
      <c r="AB18" s="21" t="inlineStr"/>
    </row>
    <row r="19" ht="15.75" customHeight="1">
      <c r="A19" s="12" t="inlineStr">
        <is>
          <t>Maintenance Bays (CEILING bays per 15 vehicles)</t>
        </is>
      </c>
      <c r="V19" s="21" t="n">
        <v>420</v>
      </c>
      <c r="Y19" s="14">
        <f>CEILING(Y18/15,1)</f>
        <v/>
      </c>
      <c r="AB19" s="14">
        <f>V19*Y19</f>
        <v/>
      </c>
    </row>
    <row r="20" ht="15.75" customHeight="1">
      <c r="A20" s="15" t="inlineStr">
        <is>
          <t>Maintenance Bays Subtotal</t>
        </is>
      </c>
      <c r="AB20" s="14">
        <f>AB19</f>
        <v/>
      </c>
    </row>
    <row r="21" ht="15.75" customHeight="1"/>
    <row r="22" ht="15.75" customHeight="1">
      <c r="A22" s="10" t="inlineStr">
        <is>
          <t>TOTAL SPACE REQUIREMENT</t>
        </is>
      </c>
    </row>
    <row r="23" ht="15.75" customHeight="1">
      <c r="A23" s="15" t="inlineStr">
        <is>
          <t>Total NSF (Administrative + Maintenance Bays)</t>
        </is>
      </c>
      <c r="AB23" s="14">
        <f>AB11+AB20</f>
        <v/>
      </c>
    </row>
    <row r="24" ht="15.75" customHeight="1">
      <c r="A24" s="12" t="inlineStr">
        <is>
          <t>NTG Factor = 1.33, Required GSF = ROUNDUP(NSF * NTG, 0)</t>
        </is>
      </c>
      <c r="V24" s="13" t="n">
        <v>1.33</v>
      </c>
      <c r="Y24" s="21" t="inlineStr"/>
      <c r="AB24" s="14">
        <f>ROUNDUP(AB23*V24,0)</f>
        <v/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17">
        <f>AB24</f>
        <v/>
      </c>
      <c r="O37" s="18" t="inlineStr">
        <is>
          <t>GSF</t>
        </is>
      </c>
      <c r="AB37" s="19" t="inlineStr"/>
    </row>
  </sheetData>
  <mergeCells count="69">
    <mergeCell ref="V10:X10"/>
    <mergeCell ref="Y4:AF4"/>
    <mergeCell ref="A13:AF13"/>
    <mergeCell ref="Y14:AA14"/>
    <mergeCell ref="Y10:AA10"/>
    <mergeCell ref="A16:U16"/>
    <mergeCell ref="AB15:AF15"/>
    <mergeCell ref="AB18:AF18"/>
    <mergeCell ref="V9:X9"/>
    <mergeCell ref="Y19:AA19"/>
    <mergeCell ref="V24:X24"/>
    <mergeCell ref="AB24:AF24"/>
    <mergeCell ref="AB20:AF20"/>
    <mergeCell ref="H37:K37"/>
    <mergeCell ref="AB14:AF14"/>
    <mergeCell ref="Y17:AA17"/>
    <mergeCell ref="M5:Q5"/>
    <mergeCell ref="V15:X15"/>
    <mergeCell ref="A18:U18"/>
    <mergeCell ref="Y16:AA16"/>
    <mergeCell ref="AE3:AF3"/>
    <mergeCell ref="AB37:AF37"/>
    <mergeCell ref="R3:AC3"/>
    <mergeCell ref="A6:AF6"/>
    <mergeCell ref="F4:L4"/>
    <mergeCell ref="AB16:AF16"/>
    <mergeCell ref="Y18:AA18"/>
    <mergeCell ref="A14:U14"/>
    <mergeCell ref="AB9:AF9"/>
    <mergeCell ref="A7:AF7"/>
    <mergeCell ref="A17:U17"/>
    <mergeCell ref="A23:AA23"/>
    <mergeCell ref="A8:U8"/>
    <mergeCell ref="A3:E3"/>
    <mergeCell ref="V16:X16"/>
    <mergeCell ref="C5:L5"/>
    <mergeCell ref="V19:X19"/>
    <mergeCell ref="R4:X4"/>
    <mergeCell ref="AB11:AF11"/>
    <mergeCell ref="A20:AA20"/>
    <mergeCell ref="A19:U19"/>
    <mergeCell ref="F3:L3"/>
    <mergeCell ref="A5:B5"/>
    <mergeCell ref="Y8:AA8"/>
    <mergeCell ref="A10:U10"/>
    <mergeCell ref="V18:X18"/>
    <mergeCell ref="O37:Q37"/>
    <mergeCell ref="R5:AF5"/>
    <mergeCell ref="V17:X17"/>
    <mergeCell ref="M3:Q3"/>
    <mergeCell ref="A9:U9"/>
    <mergeCell ref="AB23:AF23"/>
    <mergeCell ref="AB8:AF8"/>
    <mergeCell ref="A37:G37"/>
    <mergeCell ref="AB17:AF17"/>
    <mergeCell ref="A4:E4"/>
    <mergeCell ref="A24:U24"/>
    <mergeCell ref="V14:X14"/>
    <mergeCell ref="Y24:AA24"/>
    <mergeCell ref="A15:U15"/>
    <mergeCell ref="A1:AF2"/>
    <mergeCell ref="Y15:AA15"/>
    <mergeCell ref="V8:X8"/>
    <mergeCell ref="Y9:AA9"/>
    <mergeCell ref="AB19:AF19"/>
    <mergeCell ref="A22:AF22"/>
    <mergeCell ref="AB10:AF10"/>
    <mergeCell ref="A11:AA11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441 12</t>
        </is>
      </c>
      <c r="M5" s="2" t="inlineStr">
        <is>
          <t>Nomenclature:</t>
        </is>
      </c>
      <c r="R5" s="3" t="inlineStr">
        <is>
          <t>STG AIR/GRD ORG UTS MARCOR</t>
        </is>
      </c>
    </row>
    <row r="6" ht="28.5" customHeight="1">
      <c r="A6" s="10" t="inlineStr">
        <is>
          <t>SPACE REQUIREMENT ANALYSIS  ,  CCN 441 12  ,  FC 2-000-05N (Series 100, 11 Feb 2026)</t>
        </is>
      </c>
    </row>
    <row r="7" ht="14.5" customHeight="1">
      <c r="A7" s="11" t="inlineStr">
        <is>
          <t>STG AIR/GRD ORG UTS MARCOR (Loading driver: Storage personnel)</t>
        </is>
      </c>
      <c r="V7" s="4" t="inlineStr">
        <is>
          <t>Factor</t>
        </is>
      </c>
      <c r="Y7" s="4" t="inlineStr">
        <is>
          <t>Count</t>
        </is>
      </c>
      <c r="AB7" s="4" t="inlineStr">
        <is>
          <t>GSF</t>
        </is>
      </c>
    </row>
    <row r="8" ht="12.75" customHeight="1">
      <c r="A8" s="12" t="inlineStr">
        <is>
          <t>Primary loading row</t>
        </is>
      </c>
      <c r="V8" s="13" t="n">
        <v>60</v>
      </c>
      <c r="Y8" s="13" t="n">
        <v>84</v>
      </c>
      <c r="AB8" s="14">
        <f>V8*Y8*1.33</f>
        <v/>
      </c>
    </row>
    <row r="9" ht="12.75" customHeight="1">
      <c r="A9" s="12" t="inlineStr"/>
      <c r="V9" s="13" t="inlineStr"/>
      <c r="Y9" s="13" t="inlineStr"/>
      <c r="AB9" s="14">
        <f>V9*Y9*1.33</f>
        <v/>
      </c>
    </row>
    <row r="10" ht="12.75" customHeight="1">
      <c r="A10" s="12" t="inlineStr"/>
      <c r="V10" s="13" t="inlineStr"/>
      <c r="Y10" s="13" t="inlineStr"/>
      <c r="AB10" s="14">
        <f>V10*Y10*1.33</f>
        <v/>
      </c>
    </row>
    <row r="11" ht="12.75" customHeight="1">
      <c r="A11" s="12" t="inlineStr"/>
      <c r="V11" s="13" t="inlineStr"/>
      <c r="Y11" s="13" t="inlineStr"/>
      <c r="AB11" s="14">
        <f>V11*Y11*1.33</f>
        <v/>
      </c>
    </row>
    <row r="12" ht="12.75" customHeight="1">
      <c r="A12" s="12" t="inlineStr"/>
      <c r="V12" s="13" t="inlineStr"/>
      <c r="Y12" s="13" t="inlineStr"/>
      <c r="AB12" s="14">
        <f>V12*Y12*1.33</f>
        <v/>
      </c>
    </row>
    <row r="13" ht="12.75" customHeight="1">
      <c r="A13" s="12" t="inlineStr"/>
      <c r="V13" s="13" t="inlineStr"/>
      <c r="Y13" s="13" t="inlineStr"/>
      <c r="AB13" s="14">
        <f>V13*Y13*1.33</f>
        <v/>
      </c>
    </row>
    <row r="14" ht="15.75" customHeight="1"/>
    <row r="15" ht="15.75" customHeight="1">
      <c r="A15" s="15" t="inlineStr">
        <is>
          <t>Subtotal NSF</t>
        </is>
      </c>
      <c r="AB15" s="14">
        <f>SUM(AB8:AF13)</f>
        <v/>
      </c>
    </row>
    <row r="16" ht="15.75" customHeight="1">
      <c r="A16" s="15" t="inlineStr">
        <is>
          <t>Net to Gross multiplier (NTG = 1.33)</t>
        </is>
      </c>
      <c r="AB16" s="14">
        <f>AB15*1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17">
        <f>AB16</f>
        <v/>
      </c>
      <c r="O37" s="18" t="inlineStr">
        <is>
          <t>GSF</t>
        </is>
      </c>
      <c r="AB37" s="19" t="inlineStr"/>
    </row>
  </sheetData>
  <mergeCells count="52">
    <mergeCell ref="V10:X10"/>
    <mergeCell ref="Y11:AA11"/>
    <mergeCell ref="Y4:AF4"/>
    <mergeCell ref="Y10:AA10"/>
    <mergeCell ref="A7:U7"/>
    <mergeCell ref="AB15:AF15"/>
    <mergeCell ref="V9:X9"/>
    <mergeCell ref="A16:AA16"/>
    <mergeCell ref="H37:K37"/>
    <mergeCell ref="M5:Q5"/>
    <mergeCell ref="Y7:AA7"/>
    <mergeCell ref="V11:X11"/>
    <mergeCell ref="A12:U12"/>
    <mergeCell ref="AE3:AF3"/>
    <mergeCell ref="R3:AC3"/>
    <mergeCell ref="Y13:AA13"/>
    <mergeCell ref="A6:AF6"/>
    <mergeCell ref="F4:L4"/>
    <mergeCell ref="AB16:AF16"/>
    <mergeCell ref="Y12:AA12"/>
    <mergeCell ref="AB9:AF9"/>
    <mergeCell ref="V7:X7"/>
    <mergeCell ref="A8:U8"/>
    <mergeCell ref="A3:E3"/>
    <mergeCell ref="C5:L5"/>
    <mergeCell ref="AB12:AF12"/>
    <mergeCell ref="R4:X4"/>
    <mergeCell ref="AB11:AF11"/>
    <mergeCell ref="F3:L3"/>
    <mergeCell ref="A5:B5"/>
    <mergeCell ref="Y8:AA8"/>
    <mergeCell ref="A10:U10"/>
    <mergeCell ref="V12:X12"/>
    <mergeCell ref="O37:Q37"/>
    <mergeCell ref="R5:AF5"/>
    <mergeCell ref="A13:U13"/>
    <mergeCell ref="M3:Q3"/>
    <mergeCell ref="A9:U9"/>
    <mergeCell ref="AB8:AF8"/>
    <mergeCell ref="A37:G37"/>
    <mergeCell ref="A4:E4"/>
    <mergeCell ref="AB13:AF13"/>
    <mergeCell ref="AB7:AF7"/>
    <mergeCell ref="A15:AA15"/>
    <mergeCell ref="A1:AF2"/>
    <mergeCell ref="V8:X8"/>
    <mergeCell ref="Y9:AA9"/>
    <mergeCell ref="A11:U11"/>
    <mergeCell ref="AB10:AF10"/>
    <mergeCell ref="V13:X13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451 10</t>
        </is>
      </c>
      <c r="M5" s="2" t="inlineStr">
        <is>
          <t>Nomenclature:</t>
        </is>
      </c>
      <c r="R5" s="3" t="inlineStr">
        <is>
          <t>OPEN STORAGE AREA</t>
        </is>
      </c>
    </row>
    <row r="6" ht="28.5" customHeight="1">
      <c r="A6" s="10" t="inlineStr">
        <is>
          <t>SPACE REQUIREMENT ANALYSIS  ,  CCN 451 10  ,  FC 2-000-05N (Series 100, 11 Feb 2026)</t>
        </is>
      </c>
    </row>
    <row r="7" ht="14.5" customHeight="1">
      <c r="A7" s="11" t="inlineStr">
        <is>
          <t>OPEN STORAGE AREA (Loading driver: Open storage area)</t>
        </is>
      </c>
      <c r="V7" s="4" t="inlineStr">
        <is>
          <t>Factor</t>
        </is>
      </c>
      <c r="Y7" s="4" t="inlineStr">
        <is>
          <t>Count</t>
        </is>
      </c>
      <c r="AB7" s="4" t="inlineStr">
        <is>
          <t>GSY</t>
        </is>
      </c>
    </row>
    <row r="8" ht="12.75" customHeight="1">
      <c r="A8" s="12" t="inlineStr">
        <is>
          <t>Primary loading row</t>
        </is>
      </c>
      <c r="V8" s="13" t="n">
        <v>1</v>
      </c>
      <c r="Y8" s="13" t="n">
        <v>84</v>
      </c>
      <c r="AB8" s="14">
        <f>V8*Y8*1.0</f>
        <v/>
      </c>
    </row>
    <row r="9" ht="12.75" customHeight="1">
      <c r="A9" s="12" t="inlineStr"/>
      <c r="V9" s="13" t="inlineStr"/>
      <c r="Y9" s="13" t="inlineStr"/>
      <c r="AB9" s="14">
        <f>V9*Y9*1.0</f>
        <v/>
      </c>
    </row>
    <row r="10" ht="12.75" customHeight="1">
      <c r="A10" s="12" t="inlineStr"/>
      <c r="V10" s="13" t="inlineStr"/>
      <c r="Y10" s="13" t="inlineStr"/>
      <c r="AB10" s="14">
        <f>V10*Y10*1.0</f>
        <v/>
      </c>
    </row>
    <row r="11" ht="12.75" customHeight="1">
      <c r="A11" s="12" t="inlineStr"/>
      <c r="V11" s="13" t="inlineStr"/>
      <c r="Y11" s="13" t="inlineStr"/>
      <c r="AB11" s="14">
        <f>V11*Y11*1.0</f>
        <v/>
      </c>
    </row>
    <row r="12" ht="12.75" customHeight="1">
      <c r="A12" s="12" t="inlineStr"/>
      <c r="V12" s="13" t="inlineStr"/>
      <c r="Y12" s="13" t="inlineStr"/>
      <c r="AB12" s="14">
        <f>V12*Y12*1.0</f>
        <v/>
      </c>
    </row>
    <row r="13" ht="12.75" customHeight="1">
      <c r="A13" s="12" t="inlineStr"/>
      <c r="V13" s="13" t="inlineStr"/>
      <c r="Y13" s="13" t="inlineStr"/>
      <c r="AB13" s="14">
        <f>V13*Y13*1.0</f>
        <v/>
      </c>
    </row>
    <row r="14" ht="15.75" customHeight="1"/>
    <row r="15" ht="15.75" customHeight="1">
      <c r="A15" s="15" t="inlineStr">
        <is>
          <t>Subtotal NSF</t>
        </is>
      </c>
      <c r="AB15" s="14">
        <f>SUM(AB8:AF13)</f>
        <v/>
      </c>
    </row>
    <row r="16" ht="15.75" customHeight="1">
      <c r="A16" s="15" t="inlineStr">
        <is>
          <t>Net to Gross multiplier (NTG = 1.0)</t>
        </is>
      </c>
      <c r="AB16" s="14">
        <f>AB15*1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22">
        <f>AB16</f>
        <v/>
      </c>
      <c r="O37" s="18" t="inlineStr">
        <is>
          <t>GSY</t>
        </is>
      </c>
      <c r="AB37" s="19" t="inlineStr"/>
    </row>
  </sheetData>
  <mergeCells count="52">
    <mergeCell ref="V10:X10"/>
    <mergeCell ref="Y11:AA11"/>
    <mergeCell ref="Y4:AF4"/>
    <mergeCell ref="Y10:AA10"/>
    <mergeCell ref="A7:U7"/>
    <mergeCell ref="AB15:AF15"/>
    <mergeCell ref="V9:X9"/>
    <mergeCell ref="A16:AA16"/>
    <mergeCell ref="H37:K37"/>
    <mergeCell ref="M5:Q5"/>
    <mergeCell ref="Y7:AA7"/>
    <mergeCell ref="V11:X11"/>
    <mergeCell ref="A12:U12"/>
    <mergeCell ref="AE3:AF3"/>
    <mergeCell ref="R3:AC3"/>
    <mergeCell ref="Y13:AA13"/>
    <mergeCell ref="A6:AF6"/>
    <mergeCell ref="F4:L4"/>
    <mergeCell ref="AB16:AF16"/>
    <mergeCell ref="Y12:AA12"/>
    <mergeCell ref="AB9:AF9"/>
    <mergeCell ref="V7:X7"/>
    <mergeCell ref="A8:U8"/>
    <mergeCell ref="A3:E3"/>
    <mergeCell ref="C5:L5"/>
    <mergeCell ref="AB12:AF12"/>
    <mergeCell ref="R4:X4"/>
    <mergeCell ref="AB11:AF11"/>
    <mergeCell ref="F3:L3"/>
    <mergeCell ref="A5:B5"/>
    <mergeCell ref="Y8:AA8"/>
    <mergeCell ref="A10:U10"/>
    <mergeCell ref="V12:X12"/>
    <mergeCell ref="O37:Q37"/>
    <mergeCell ref="R5:AF5"/>
    <mergeCell ref="A13:U13"/>
    <mergeCell ref="M3:Q3"/>
    <mergeCell ref="A9:U9"/>
    <mergeCell ref="AB8:AF8"/>
    <mergeCell ref="A37:G37"/>
    <mergeCell ref="A4:E4"/>
    <mergeCell ref="AB13:AF13"/>
    <mergeCell ref="AB7:AF7"/>
    <mergeCell ref="A15:AA15"/>
    <mergeCell ref="A1:AF2"/>
    <mergeCell ref="V8:X8"/>
    <mergeCell ref="Y9:AA9"/>
    <mergeCell ref="A11:U11"/>
    <mergeCell ref="AB10:AF10"/>
    <mergeCell ref="V13:X13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2026-04-28T12:23:06Z</dcterms:created>
  <dcterms:modified xsi:type="dcterms:W3CDTF">2026-04-28T12:23:06Z</dcterms:modified>
</cp:coreProperties>
</file>