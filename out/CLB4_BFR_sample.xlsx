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  <sheet name="53010" sheetId="14" state="visible" r:id="rId14"/>
    <sheet name="85210" sheetId="15" state="visible" r:id="rId15"/>
    <sheet name="85122" sheetId="16" state="visible" r:id="rId16"/>
    <sheet name="85121" sheetId="17" state="visible" r:id="rId17"/>
    <sheet name="87210" sheetId="18" state="visible" r:id="rId18"/>
    <sheet name="87250" sheetId="19" state="visible" r:id="rId19"/>
    <sheet name="87230" sheetId="20" state="visible" r:id="rId20"/>
    <sheet name="83143" sheetId="21" state="visible" r:id="rId21"/>
    <sheet name="83141" sheetId="22" state="visible" r:id="rId22"/>
    <sheet name="81160" sheetId="23" state="visible" r:id="rId23"/>
    <sheet name="88010" sheetId="24" state="visible" r:id="rId24"/>
    <sheet name="85235" sheetId="25" state="visible" r:id="rId25"/>
    <sheet name="85240" sheetId="26" state="visible" r:id="rId26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  <definedName name="_xlnm.Print_Area" localSheetId="13">'53010'!$A$1:$AF$37</definedName>
    <definedName name="_xlnm.Print_Area" localSheetId="14">'85210'!$A$1:$AF$37</definedName>
    <definedName name="_xlnm.Print_Area" localSheetId="15">'85122'!$A$1:$AF$37</definedName>
    <definedName name="_xlnm.Print_Area" localSheetId="16">'85121'!$A$1:$AF$37</definedName>
    <definedName name="_xlnm.Print_Area" localSheetId="17">'87210'!$A$1:$AF$37</definedName>
    <definedName name="_xlnm.Print_Area" localSheetId="18">'87250'!$A$1:$AF$37</definedName>
    <definedName name="_xlnm.Print_Area" localSheetId="19">'87230'!$A$1:$AF$37</definedName>
    <definedName name="_xlnm.Print_Area" localSheetId="20">'83143'!$A$1:$AF$37</definedName>
    <definedName name="_xlnm.Print_Area" localSheetId="21">'83141'!$A$1:$AF$37</definedName>
    <definedName name="_xlnm.Print_Area" localSheetId="22">'81160'!$A$1:$AF$37</definedName>
    <definedName name="_xlnm.Print_Area" localSheetId="23">'88010'!$A$1:$AF$37</definedName>
    <definedName name="_xlnm.Print_Area" localSheetId="24">'85235'!$A$1:$AF$37</definedName>
    <definedName name="_xlnm.Print_Area" localSheetId="25">'85240'!$A$1:$AF$37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\ &quot;GSF&quot;"/>
    <numFmt numFmtId="165" formatCode="#,##0\ &quot;GSY&quot;"/>
    <numFmt numFmtId="166" formatCode="#,##0\ &quot;LF&quot;"/>
    <numFmt numFmtId="167" formatCode="#,##0\ &quot;EA&quot;"/>
    <numFmt numFmtId="168" formatCode="#,##0\ &quot;KW&quot;"/>
    <numFmt numFmtId="169" formatCode="#,##0\ &quot;MI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6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19">
      <c r="B19" s="5" t="inlineStr">
        <is>
          <t>530 10</t>
        </is>
      </c>
      <c r="C19" s="5" t="inlineStr">
        <is>
          <t>DISP &amp; OUT PATIENT CLINIC</t>
        </is>
      </c>
      <c r="D19" s="5" t="inlineStr">
        <is>
          <t>GSF</t>
        </is>
      </c>
      <c r="E19" s="6">
        <f>'53010'!H37</f>
        <v/>
      </c>
    </row>
    <row r="20">
      <c r="B20" s="5" t="inlineStr">
        <is>
          <t>852 10</t>
        </is>
      </c>
      <c r="C20" s="5" t="inlineStr">
        <is>
          <t>PARKING AREA</t>
        </is>
      </c>
      <c r="D20" s="5" t="inlineStr">
        <is>
          <t>GSY</t>
        </is>
      </c>
      <c r="E20" s="6">
        <f>'85210'!H37</f>
        <v/>
      </c>
    </row>
    <row r="21">
      <c r="B21" s="5" t="inlineStr">
        <is>
          <t>851 22</t>
        </is>
      </c>
      <c r="C21" s="5" t="inlineStr">
        <is>
          <t>VEHICLE STAGING AREA</t>
        </is>
      </c>
      <c r="D21" s="5" t="inlineStr">
        <is>
          <t>GSY</t>
        </is>
      </c>
      <c r="E21" s="6">
        <f>'85122'!H37</f>
        <v/>
      </c>
    </row>
    <row r="22">
      <c r="B22" s="5" t="inlineStr">
        <is>
          <t>851 21</t>
        </is>
      </c>
      <c r="C22" s="5" t="inlineStr">
        <is>
          <t>VEH. PARK, UNSURFACED</t>
        </is>
      </c>
      <c r="D22" s="5" t="inlineStr">
        <is>
          <t>GSY</t>
        </is>
      </c>
      <c r="E22" s="6">
        <f>'85121'!H37</f>
        <v/>
      </c>
    </row>
    <row r="23">
      <c r="B23" s="5" t="inlineStr">
        <is>
          <t>872 10</t>
        </is>
      </c>
      <c r="C23" s="5" t="inlineStr">
        <is>
          <t>SECURTY/PERIMTR FENCE/WALL</t>
        </is>
      </c>
      <c r="D23" s="5" t="inlineStr">
        <is>
          <t>LF</t>
        </is>
      </c>
      <c r="E23" s="6">
        <f>'87210'!H37</f>
        <v/>
      </c>
    </row>
    <row r="24">
      <c r="B24" s="5" t="inlineStr">
        <is>
          <t>872 50</t>
        </is>
      </c>
      <c r="C24" s="5" t="inlineStr">
        <is>
          <t>87250</t>
        </is>
      </c>
      <c r="D24" s="5" t="inlineStr">
        <is>
          <t>EA</t>
        </is>
      </c>
      <c r="E24" s="6">
        <f>'87250'!H37</f>
        <v/>
      </c>
    </row>
    <row r="25">
      <c r="B25" s="5" t="inlineStr">
        <is>
          <t>872 30</t>
        </is>
      </c>
      <c r="C25" s="5" t="inlineStr">
        <is>
          <t>MECH SEC BARRICADE</t>
        </is>
      </c>
      <c r="D25" s="5" t="inlineStr">
        <is>
          <t>EA</t>
        </is>
      </c>
      <c r="E25" s="6">
        <f>'87230'!H37</f>
        <v/>
      </c>
    </row>
    <row r="26">
      <c r="B26" s="5" t="inlineStr">
        <is>
          <t>831 43</t>
        </is>
      </c>
      <c r="C26" s="5" t="inlineStr">
        <is>
          <t>HAZ WASTE BLDG</t>
        </is>
      </c>
      <c r="D26" s="5" t="inlineStr">
        <is>
          <t>GSF</t>
        </is>
      </c>
      <c r="E26" s="6">
        <f>'83143'!H37</f>
        <v/>
      </c>
    </row>
    <row r="27">
      <c r="B27" s="5" t="inlineStr">
        <is>
          <t>831 41</t>
        </is>
      </c>
      <c r="C27" s="5" t="inlineStr">
        <is>
          <t>HAZARD WSTE STOR &amp; TRANSFR</t>
        </is>
      </c>
      <c r="D27" s="5" t="inlineStr">
        <is>
          <t>GSF</t>
        </is>
      </c>
      <c r="E27" s="6">
        <f>'83141'!H37</f>
        <v/>
      </c>
    </row>
    <row r="28">
      <c r="B28" s="5" t="inlineStr">
        <is>
          <t>811 60</t>
        </is>
      </c>
      <c r="C28" s="5" t="inlineStr">
        <is>
          <t>STANDBY GENERATOR PLANT</t>
        </is>
      </c>
      <c r="D28" s="5" t="inlineStr">
        <is>
          <t>KW</t>
        </is>
      </c>
      <c r="E28" s="6">
        <f>'81160'!H37</f>
        <v/>
      </c>
    </row>
    <row r="29">
      <c r="B29" s="5" t="inlineStr">
        <is>
          <t>880 10</t>
        </is>
      </c>
      <c r="C29" s="5" t="inlineStr">
        <is>
          <t>FIRE ALARM COMM LINES</t>
        </is>
      </c>
      <c r="D29" s="5" t="inlineStr">
        <is>
          <t>MI</t>
        </is>
      </c>
      <c r="E29" s="6">
        <f>'88010'!H37</f>
        <v/>
      </c>
    </row>
    <row r="30">
      <c r="B30" s="5" t="inlineStr">
        <is>
          <t>852 35</t>
        </is>
      </c>
      <c r="C30" s="5" t="inlineStr">
        <is>
          <t>OTHER PAVED AREA</t>
        </is>
      </c>
      <c r="D30" s="5" t="inlineStr">
        <is>
          <t>GSY</t>
        </is>
      </c>
      <c r="E30" s="6">
        <f>'85235'!H37</f>
        <v/>
      </c>
    </row>
    <row r="31">
      <c r="B31" s="5" t="inlineStr">
        <is>
          <t>852 40</t>
        </is>
      </c>
      <c r="C31" s="5" t="inlineStr">
        <is>
          <t>MISC OPEN STRG/LAYDOWN</t>
        </is>
      </c>
      <c r="D31" s="5" t="inlineStr">
        <is>
          <t>GSY</t>
        </is>
      </c>
      <c r="E31" s="6">
        <f>'85240'!H37</f>
        <v/>
      </c>
    </row>
    <row r="33">
      <c r="B33" s="7" t="inlineStr">
        <is>
          <t>GRAND TOTAL</t>
        </is>
      </c>
      <c r="C33" s="8" t="n"/>
      <c r="D33" s="8" t="n"/>
      <c r="E33" s="9">
        <f>SUM(E9:E31)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4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9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14345-1 (Armory); loading driver: Installation Military Strength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up to 2,000 | 576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2,001 - 4,000 | 880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4,001 - 7,500 | 1,200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7,501 - 10,000 | 1,508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Over 10,000 | Add 0.1 sq ft per person</t>
        </is>
      </c>
      <c r="C49" s="21" t="n"/>
      <c r="D49" s="21" t="n"/>
      <c r="E49" s="21" t="n"/>
      <c r="F49" s="21" t="n"/>
      <c r="G49" s="21" t="n"/>
      <c r="H49" s="22" t="n"/>
    </row>
  </sheetData>
  <mergeCells count="62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B47:H47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5" t="n">
        <v>420</v>
      </c>
      <c r="Y15" s="13" t="n">
        <v>33</v>
      </c>
      <c r="AB15" s="25" t="inlineStr"/>
    </row>
    <row r="16" ht="15.75" customHeight="1">
      <c r="A16" s="12" t="inlineStr">
        <is>
          <t>Medium / Heavy Cargo (AMK23A1, AMK27A1)</t>
        </is>
      </c>
      <c r="V16" s="25" t="n">
        <v>420</v>
      </c>
      <c r="Y16" s="13" t="n">
        <v>23</v>
      </c>
      <c r="AB16" s="25" t="inlineStr"/>
    </row>
    <row r="17" ht="15.75" customHeight="1">
      <c r="A17" s="12" t="inlineStr">
        <is>
          <t>Wrecker / Recovery (AMK36)</t>
        </is>
      </c>
      <c r="V17" s="25" t="n">
        <v>420</v>
      </c>
      <c r="Y17" s="13" t="n">
        <v>3</v>
      </c>
      <c r="AB17" s="25" t="inlineStr"/>
    </row>
    <row r="18" ht="15.75" customHeight="1">
      <c r="A18" s="12" t="inlineStr">
        <is>
          <t>Total Self-Propelled Vehicles | CEILING(total / 30)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30 vehicles)</t>
        </is>
      </c>
      <c r="V19" s="25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21451-1: This facility provides work areas for Fleet Marine Force (FMF) units to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21455-1: REQUIREMENTS. Vehicle wash platforms equipped with hose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5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600 Series; version date 2023-03-02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fc_2_000_05n_600series_03_02_2023.pdf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[39]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61072-1: This category code is for a Fleet Marine Force (FMF) facility and provides</t>
        </is>
      </c>
      <c r="C45" s="21" t="n"/>
      <c r="D45" s="21" t="n"/>
      <c r="E45" s="21" t="n"/>
      <c r="F45" s="21" t="n"/>
      <c r="G45" s="21" t="n"/>
      <c r="H45" s="22" t="n"/>
    </row>
  </sheetData>
  <mergeCells count="51">
    <mergeCell ref="A10:AF10"/>
    <mergeCell ref="Y20:AA20"/>
    <mergeCell ref="Y4:AF4"/>
    <mergeCell ref="A13:AF13"/>
    <mergeCell ref="Y14:AA14"/>
    <mergeCell ref="A16:U16"/>
    <mergeCell ref="A19:AF19"/>
    <mergeCell ref="AB15:AF15"/>
    <mergeCell ref="B40:H40"/>
    <mergeCell ref="H37:K37"/>
    <mergeCell ref="AB20:AF20"/>
    <mergeCell ref="A9:AF9"/>
    <mergeCell ref="AB14:AF14"/>
    <mergeCell ref="M5:Q5"/>
    <mergeCell ref="V15:X15"/>
    <mergeCell ref="B45:H45"/>
    <mergeCell ref="A11:AF11"/>
    <mergeCell ref="Y16:AA16"/>
    <mergeCell ref="AE3:AF3"/>
    <mergeCell ref="B41:H41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B43:H43"/>
    <mergeCell ref="F3:L3"/>
    <mergeCell ref="A5:B5"/>
    <mergeCell ref="O37:Q37"/>
    <mergeCell ref="R5:AF5"/>
    <mergeCell ref="B42:H42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B44:H44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61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[189, 190]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page_190_table_1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Non-mechanized CESE and SABAR (ex: Small (&lt;10FT) Fuel Water SIXCON, Motors, Pumps, A 19 168 1.50 Generators, TRICONS)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Vehicles and non-mechanized CESE and Medium (10FT- SABAR (ex: Passenger Vehicles, B 32 288 1.75 20FT) HMMWV, Light Plant, Fork Lifts, Small Zodiac Boats)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Large CESE and SABAR (ex: MTVR, Fuel Large (20FT-30FT) C 46 408 1.75 Trucks, Boats &lt; 30FT)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Extra Large CESE and SABAR (ex: Boats Extra Large (30FT- &gt; 30FT, Scrapers, Water Well, Semi D 59 528 2.00 40FT) Trailers)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Extra Large CESE and SABAR (ex: Boats Extra Large (40FT- &gt; 40FT, Scrapers, Water Well, Semi E 72 648 2.00 50FT) Trailers)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Extra Large (50FT- Extra Large CESE and SABAR (ex: Boats F 86 768 2.25 60FT) &gt; 50 FT, Semi Trailers, lowboy 55T)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Extra Large CESE and SABAR (ex: 11M Extra Large (60FT- Rib with Prime Mover; 40PB with Prime G 99 888 2.25 70FT) Mover)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page_190_table_2 (); loading driver: TBD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page_190_table_3 (); loading driver: TBD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  1A | 5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  A | 10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1B | 15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B | 20</t>
        </is>
      </c>
      <c r="C57" s="21" t="n"/>
      <c r="D57" s="21" t="n"/>
      <c r="E57" s="21" t="n"/>
      <c r="F57" s="21" t="n"/>
      <c r="G57" s="21" t="n"/>
      <c r="H57" s="22" t="n"/>
    </row>
    <row r="58" ht="18" customHeight="1">
      <c r="B58" s="23" t="inlineStr">
        <is>
          <t xml:space="preserve">    C | 30</t>
        </is>
      </c>
      <c r="C58" s="21" t="n"/>
      <c r="D58" s="21" t="n"/>
      <c r="E58" s="21" t="n"/>
      <c r="F58" s="21" t="n"/>
      <c r="G58" s="21" t="n"/>
      <c r="H58" s="22" t="n"/>
    </row>
    <row r="59" ht="18" customHeight="1">
      <c r="B59" s="23" t="inlineStr">
        <is>
          <t xml:space="preserve">    D | 40</t>
        </is>
      </c>
      <c r="C59" s="21" t="n"/>
      <c r="D59" s="21" t="n"/>
      <c r="E59" s="21" t="n"/>
      <c r="F59" s="21" t="n"/>
      <c r="G59" s="21" t="n"/>
      <c r="H59" s="22" t="n"/>
    </row>
    <row r="60" ht="18" customHeight="1">
      <c r="B60" s="23" t="inlineStr">
        <is>
          <t xml:space="preserve">    E | 50</t>
        </is>
      </c>
      <c r="C60" s="21" t="n"/>
      <c r="D60" s="21" t="n"/>
      <c r="E60" s="21" t="n"/>
      <c r="F60" s="21" t="n"/>
      <c r="G60" s="21" t="n"/>
      <c r="H60" s="22" t="n"/>
    </row>
    <row r="61" ht="18" customHeight="1">
      <c r="B61" s="23" t="inlineStr">
        <is>
          <t xml:space="preserve">    F | 60</t>
        </is>
      </c>
      <c r="C61" s="21" t="n"/>
      <c r="D61" s="21" t="n"/>
      <c r="E61" s="21" t="n"/>
      <c r="F61" s="21" t="n"/>
      <c r="G61" s="21" t="n"/>
      <c r="H61" s="22" t="n"/>
    </row>
  </sheetData>
  <mergeCells count="74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B59:H59"/>
    <mergeCell ref="V7:X7"/>
    <mergeCell ref="A8:U8"/>
    <mergeCell ref="A3:E3"/>
    <mergeCell ref="B46:H46"/>
    <mergeCell ref="C5:L5"/>
    <mergeCell ref="AB12:AF12"/>
    <mergeCell ref="B56:H56"/>
    <mergeCell ref="B58:H58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B60:H60"/>
    <mergeCell ref="AB8:AF8"/>
    <mergeCell ref="A37:G37"/>
    <mergeCell ref="B61:H61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[200, 201, 202, 203]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24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14326-1: This facility is necessary for manning, equipping, and training for EOD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47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5" t="n">
        <v>420</v>
      </c>
      <c r="Y15" s="13" t="n">
        <v>12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21710-1: Electronics maintenance shops at Naval and Marine Corps activities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5" t="n">
        <v>420</v>
      </c>
      <c r="Y15" s="13" t="n">
        <v>18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21730-1: This field maintenance shop provides specialized work areas for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44112-1: DESCRIPTION. This category code includes general purpose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[50, 51]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45110-1: DESCRIPTION. This category group consists of non-covered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530 10</t>
        </is>
      </c>
      <c r="M5" s="2" t="inlineStr">
        <is>
          <t>Nomenclature:</t>
        </is>
      </c>
      <c r="R5" s="3" t="inlineStr">
        <is>
          <t>DISP &amp; OUT PATIENT CLINIC</t>
        </is>
      </c>
    </row>
    <row r="6" ht="28.5" customHeight="1">
      <c r="A6" s="10" t="inlineStr">
        <is>
          <t>SPACE REQUIREMENT ANALYSIS  ,  CCN 530 10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BAS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BAS Medical Officers / IDC</t>
        </is>
      </c>
      <c r="V9" s="13" t="n">
        <v>120</v>
      </c>
      <c r="Y9" s="13" t="n">
        <v>4</v>
      </c>
      <c r="AB9" s="14">
        <f>V9*Y9</f>
        <v/>
      </c>
    </row>
    <row r="10" ht="12.75" customHeight="1">
      <c r="A10" s="12" t="inlineStr">
        <is>
          <t>Hospital Corpsmen / Field Med Tech / Dental Asst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500 Series; version date 2023-03-17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fc_2_000_05n_500series_03_17_2023.pdf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53010-1: GENERAL. Free Standing Clinic, outpatient clinic, which occupies a</t>
        </is>
      </c>
      <c r="C45" s="21" t="n"/>
      <c r="D45" s="21" t="n"/>
      <c r="E45" s="21" t="n"/>
      <c r="F45" s="21" t="n"/>
      <c r="G45" s="21" t="n"/>
      <c r="H45" s="22" t="n"/>
    </row>
  </sheetData>
  <mergeCells count="46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852 10</t>
        </is>
      </c>
      <c r="M5" s="2" t="inlineStr">
        <is>
          <t>Nomenclature:</t>
        </is>
      </c>
      <c r="R5" s="3" t="inlineStr">
        <is>
          <t>PARKING AREA</t>
        </is>
      </c>
    </row>
    <row r="6" ht="28.5" customHeight="1">
      <c r="A6" s="10" t="inlineStr">
        <is>
          <t>SPACE REQUIREMENT ANALYSIS  ,  CCN 852 10  ,  FC 2-000-05N (Series 100, 11 Feb 2026)</t>
        </is>
      </c>
    </row>
    <row r="7" ht="14.5" customHeight="1">
      <c r="A7" s="11" t="inlineStr">
        <is>
          <t>PARKING AREA (Loading driver: Organizational Vehicle Parking (count of CLB-4 motor pool vehicles); FAC 8521; cited factor 75 SY/vehicle for FMF Ground Units (50 SY/vehicle if &gt;50% are &lt;=18ft x 6.5ft); UoM=SY; user-supplied spec 2026-04-30 pending FC 2-000-05N Series 800 cross-check)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75</v>
      </c>
      <c r="Y8" s="13" t="n">
        <v>100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852 10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851 22</t>
        </is>
      </c>
      <c r="M5" s="2" t="inlineStr">
        <is>
          <t>Nomenclature:</t>
        </is>
      </c>
      <c r="R5" s="3" t="inlineStr">
        <is>
          <t>VEHICLE STAGING AREA</t>
        </is>
      </c>
    </row>
    <row r="6" ht="28.5" customHeight="1">
      <c r="A6" s="10" t="inlineStr">
        <is>
          <t>SPACE REQUIREMENT ANALYSIS  ,  CCN 851 22  ,  FC 2-000-05N (Series 100, 11 Feb 2026)</t>
        </is>
      </c>
    </row>
    <row r="7" ht="14.5" customHeight="1">
      <c r="A7" s="11" t="inlineStr">
        <is>
          <t>VEHICLE STAGING AREA (Loading driver: Vehicle Staging Area for mount-out operations (SY); FAC 8523; sized by mission scale not by parked-vehicle count; CLB-4 placeholder 5000 SY pending unit doctrine input)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5000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851 22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851 21</t>
        </is>
      </c>
      <c r="M5" s="2" t="inlineStr">
        <is>
          <t>Nomenclature:</t>
        </is>
      </c>
      <c r="R5" s="3" t="inlineStr">
        <is>
          <t>VEH. PARK, UNSURFACED</t>
        </is>
      </c>
    </row>
    <row r="6" ht="28.5" customHeight="1">
      <c r="A6" s="10" t="inlineStr">
        <is>
          <t>SPACE REQUIREMENT ANALYSIS  ,  CCN 851 21  ,  FC 2-000-05N (Series 100, 11 Feb 2026)</t>
        </is>
      </c>
    </row>
    <row r="7" ht="14.5" customHeight="1">
      <c r="A7" s="11" t="inlineStr">
        <is>
          <t>VEH. PARK, UNSURFACED (Loading driver: Vehicular Parking Unsurfaced (SY); FAC 8522; calculated using 85210 criteria when used; CLB-4 sets to 0 because primary parking is paved per 85210)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851 21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872 10</t>
        </is>
      </c>
      <c r="M5" s="2" t="inlineStr">
        <is>
          <t>Nomenclature:</t>
        </is>
      </c>
      <c r="R5" s="3" t="inlineStr">
        <is>
          <t>SECURTY/PERIMTR FENCE/WALL</t>
        </is>
      </c>
    </row>
    <row r="6" ht="28.5" customHeight="1">
      <c r="A6" s="10" t="inlineStr">
        <is>
          <t>SPACE REQUIREMENT ANALYSIS  ,  CCN 872 10  ,  FC 2-000-05N (Series 100, 11 Feb 2026)</t>
        </is>
      </c>
    </row>
    <row r="7" ht="14.5" customHeight="1">
      <c r="A7" s="11" t="inlineStr">
        <is>
          <t>SECURTY/PERIMTR FENCE/WALL (Loading driver: Station Security and Perimeter Fencing (LF); FAC 8721; standard 7-ft chain link with 1.5-ft outriggers and 3 strands BB; min 50-150 ft from buildings/critical supplies; SRC I/II ammo fence per DoDM 5100.76 + UFC 4-022-03; CLB-4 placeholder 2000 LF pending compound perimeter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LF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7">
        <f>AB16</f>
        <v/>
      </c>
      <c r="O37" s="18" t="inlineStr">
        <is>
          <t>LF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872 10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872 50</t>
        </is>
      </c>
      <c r="M5" s="2" t="inlineStr">
        <is>
          <t>Nomenclature:</t>
        </is>
      </c>
      <c r="R5" s="3" t="inlineStr">
        <is>
          <t>87250</t>
        </is>
      </c>
    </row>
    <row r="6" ht="28.5" customHeight="1">
      <c r="A6" s="10" t="inlineStr">
        <is>
          <t>SPACE REQUIREMENT ANALYSIS  ,  CCN 872 50  ,  FC 2-000-05N (Series 100, 11 Feb 2026)</t>
        </is>
      </c>
    </row>
    <row r="7" ht="14.5" customHeight="1">
      <c r="A7" s="11" t="inlineStr">
        <is>
          <t>87250 (Loading driver: Entry Gate (LF); FAC 8721; CCN added Jan 2024; CLB-4 default 30 LF for 1-2 main gates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EA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30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8">
        <f>AB16</f>
        <v/>
      </c>
      <c r="O37" s="18" t="inlineStr">
        <is>
          <t>EA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872 50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872 30</t>
        </is>
      </c>
      <c r="M5" s="2" t="inlineStr">
        <is>
          <t>Nomenclature:</t>
        </is>
      </c>
      <c r="R5" s="3" t="inlineStr">
        <is>
          <t>MECH SEC BARRICADE</t>
        </is>
      </c>
    </row>
    <row r="6" ht="28.5" customHeight="1">
      <c r="A6" s="10" t="inlineStr">
        <is>
          <t>SPACE REQUIREMENT ANALYSIS  ,  CCN 872 30  ,  FC 2-000-05N (Series 100, 11 Feb 2026)</t>
        </is>
      </c>
    </row>
    <row r="7" ht="14.5" customHeight="1">
      <c r="A7" s="11" t="inlineStr">
        <is>
          <t>MECH SEC BARRICADE (Loading driver: Mechanical Security Barricade (EA); FAC 1458; drop arm barriers at gates; CLB-4 default 2 EA (one per gate))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EA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8">
        <f>AB16</f>
        <v/>
      </c>
      <c r="O37" s="18" t="inlineStr">
        <is>
          <t>EA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872 30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831 43</t>
        </is>
      </c>
      <c r="M5" s="2" t="inlineStr">
        <is>
          <t>Nomenclature:</t>
        </is>
      </c>
      <c r="R5" s="3" t="inlineStr">
        <is>
          <t>HAZ WASTE BLDG</t>
        </is>
      </c>
    </row>
    <row r="6" ht="28.5" customHeight="1">
      <c r="A6" s="10" t="inlineStr">
        <is>
          <t>SPACE REQUIREMENT ANALYSIS  ,  CCN 831 43  ,  FC 2-000-05N (Series 100, 11 Feb 2026)</t>
        </is>
      </c>
    </row>
    <row r="7" ht="14.5" customHeight="1">
      <c r="A7" s="11" t="inlineStr">
        <is>
          <t>HAZ WASTE BLDG (Loading driver: Hazardous Waste Storage Building (SF); FAC 4423; 150-meter buffer from inhabited areas, ammo, or POL stores; short-term &lt;90 days vs long-term &gt;90 days; CLB-4 placeholder 400 SF for unit HAZMAT point)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400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831 43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831 41</t>
        </is>
      </c>
      <c r="M5" s="2" t="inlineStr">
        <is>
          <t>Nomenclature:</t>
        </is>
      </c>
      <c r="R5" s="3" t="inlineStr">
        <is>
          <t>HAZARD WSTE STOR &amp; TRANSFR</t>
        </is>
      </c>
    </row>
    <row r="6" ht="28.5" customHeight="1">
      <c r="A6" s="10" t="inlineStr">
        <is>
          <t>SPACE REQUIREMENT ANALYSIS  ,  CCN 831 41  ,  FC 2-000-05N (Series 100, 11 Feb 2026)</t>
        </is>
      </c>
    </row>
    <row r="7" ht="14.5" customHeight="1">
      <c r="A7" s="11" t="inlineStr">
        <is>
          <t>HAZARD WSTE STOR &amp; TRANSFR (Loading driver: Hazardous Waste Storage and Transfer Facility (EA); FAC 8926; non-building structures; same 150-meter buffer rule; CLB-4 default 1 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831 41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811 60</t>
        </is>
      </c>
      <c r="M5" s="2" t="inlineStr">
        <is>
          <t>Nomenclature:</t>
        </is>
      </c>
      <c r="R5" s="3" t="inlineStr">
        <is>
          <t>STANDBY GENERATOR PLANT</t>
        </is>
      </c>
    </row>
    <row r="6" ht="28.5" customHeight="1">
      <c r="A6" s="10" t="inlineStr">
        <is>
          <t>SPACE REQUIREMENT ANALYSIS  ,  CCN 811 60  ,  FC 2-000-05N (Series 100, 11 Feb 2026)</t>
        </is>
      </c>
    </row>
    <row r="7" ht="14.5" customHeight="1">
      <c r="A7" s="11" t="inlineStr">
        <is>
          <t>STANDBY GENERATOR PLANT (Loading driver: Standby Generator Plant (KW); FAC 8112; mission-essential standby power; CLB-4 placeholder 150 KW pending engineering load study)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KW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150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9">
        <f>AB16</f>
        <v/>
      </c>
      <c r="O37" s="18" t="inlineStr">
        <is>
          <t>KW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811 60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880 10</t>
        </is>
      </c>
      <c r="M5" s="2" t="inlineStr">
        <is>
          <t>Nomenclature:</t>
        </is>
      </c>
      <c r="R5" s="3" t="inlineStr">
        <is>
          <t>FIRE ALARM COMM LINES</t>
        </is>
      </c>
    </row>
    <row r="6" ht="28.5" customHeight="1">
      <c r="A6" s="10" t="inlineStr">
        <is>
          <t>SPACE REQUIREMENT ANALYSIS  ,  CCN 880 10  ,  FC 2-000-05N (Series 100, 11 Feb 2026)</t>
        </is>
      </c>
    </row>
    <row r="7" ht="14.5" customHeight="1">
      <c r="A7" s="11" t="inlineStr">
        <is>
          <t>FIRE ALARM COMM LINES (Loading driver: Fire Alarm System (MI); FAC 1351; linear miles of fire-alarm wiring across CLB-4 compound; placeholder 1 MI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MI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30">
        <f>AB16</f>
        <v/>
      </c>
      <c r="O37" s="18" t="inlineStr">
        <is>
          <t>MI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880 10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852 35</t>
        </is>
      </c>
      <c r="M5" s="2" t="inlineStr">
        <is>
          <t>Nomenclature:</t>
        </is>
      </c>
      <c r="R5" s="3" t="inlineStr">
        <is>
          <t>OTHER PAVED AREA</t>
        </is>
      </c>
    </row>
    <row r="6" ht="28.5" customHeight="1">
      <c r="A6" s="10" t="inlineStr">
        <is>
          <t>SPACE REQUIREMENT ANALYSIS  ,  CCN 852 35  ,  FC 2-000-05N (Series 100, 11 Feb 2026)</t>
        </is>
      </c>
    </row>
    <row r="7" ht="14.5" customHeight="1">
      <c r="A7" s="11" t="inlineStr">
        <is>
          <t>OTHER PAVED AREA (Loading driver: Other Paved Areas Not in 100/400 Series (SY); FAC 8526; miscellaneous hardstand; CLB-4 placeholder 1000 SY)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852 35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852 40</t>
        </is>
      </c>
      <c r="M5" s="2" t="inlineStr">
        <is>
          <t>Nomenclature:</t>
        </is>
      </c>
      <c r="R5" s="3" t="inlineStr">
        <is>
          <t>MISC OPEN STRG/LAYDOWN</t>
        </is>
      </c>
    </row>
    <row r="6" ht="28.5" customHeight="1">
      <c r="A6" s="10" t="inlineStr">
        <is>
          <t>SPACE REQUIREMENT ANALYSIS  ,  CCN 852 40  ,  FC 2-000-05N (Series 100, 11 Feb 2026)</t>
        </is>
      </c>
    </row>
    <row r="7" ht="14.5" customHeight="1">
      <c r="A7" s="11" t="inlineStr">
        <is>
          <t>MISC OPEN STRG/LAYDOWN (Loading driver: Misc Open Storage/Laydown Area Paved (SY); FAC 8526; PW open storage allowances per Table 85240-1; CLB-4 placeholder 2000 SY pending shop-type breakdown)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800 (Utilities &amp; Ground;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852 40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2026-04-30T04:21:52Z</dcterms:created>
  <dcterms:modified xsi:type="dcterms:W3CDTF">2026-04-30T04:21:53Z</dcterms:modified>
</cp:coreProperties>
</file>